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船账\MV Pioneer Lady\"/>
    </mc:Choice>
  </mc:AlternateContent>
  <bookViews>
    <workbookView windowWidth="18350" windowHeight="6880" tabRatio="923" activeTab="4"/>
  </bookViews>
  <sheets>
    <sheet name="SOFP" sheetId="1" r:id="rId1"/>
    <sheet name="Cost Checking" sheetId="3" r:id="rId2"/>
    <sheet name="Bank Verification" sheetId="2" r:id="rId3"/>
    <sheet name="Shipmanagement RCVD" sheetId="4" r:id="rId4"/>
    <sheet name="Expenses Lists" sheetId="6" r:id="rId5"/>
    <sheet name="CTM Expenses List" sheetId="5" r:id="rId6"/>
    <sheet name="Shipmanagement Cost" sheetId="7" r:id="rId7"/>
    <sheet name="Owner Cost" sheetId="8" r:id="rId8"/>
    <sheet name="Take-Over Cost" sheetId="9" r:id="rId9"/>
    <sheet name="BMA Flag Change" sheetId="10" r:id="rId10"/>
    <sheet name="DD Cost" sheetId="11" r:id="rId11"/>
    <sheet name="分析" sheetId="12" r:id="rId12"/>
    <sheet name="Account Code-2版" sheetId="13" r:id="rId13"/>
    <sheet name="伙食海关库房管理" sheetId="14" r:id="rId14"/>
  </sheets>
  <definedNames>
    <definedName name="_xlnm._FilterDatabase" localSheetId="6" hidden="1">'Shipmanagement Cost'!$A$1:$AD$62</definedName>
    <definedName name="_xlnm._FilterDatabase" localSheetId="4" hidden="1">'Expenses Lists'!$Q$26:$T$87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<sst xmlns="http://schemas.openxmlformats.org/spreadsheetml/2006/main" count="2384" uniqueCount="982">
  <si>
    <t>Speedy Pioneer LTD</t>
  </si>
  <si>
    <t>MARITIME SOLUTIONS TECHNOLOGY SERVICES (HK) LIMITED</t>
  </si>
  <si>
    <t>MV PIONEER LADY</t>
  </si>
  <si>
    <t>M.V. "PIONEER LADY"-Shipmanagement Cost</t>
  </si>
  <si>
    <t>M.V. "PIONEER LADY"-Owner Cost</t>
  </si>
  <si>
    <t>M.V. "PIONEER LADY"-Take Over Cost</t>
  </si>
  <si>
    <t>M.V. "PIONEER LADY"-DryDocking Cost</t>
  </si>
  <si>
    <t>M.V. "PIONEER LADY"-BMA Flag Change Cost</t>
  </si>
  <si>
    <t>海事方案技術服務（香港）有限公司</t>
  </si>
  <si>
    <t>(Ship Management Period: 15th Jul-2026 to 31th Dec-2026)</t>
  </si>
  <si>
    <t>(Owner Cost Period: 15th Jul-2026 to 31th Dec-2026)</t>
  </si>
  <si>
    <t>(Take Over Vessel into Management: 15th Jul-2026 to 31th Jul-2026)</t>
  </si>
  <si>
    <t>(DD Period: xxxxxxxxxxxxxxxxxxxxx)</t>
  </si>
  <si>
    <t>(BMA Flag Change Period: 15th Jul-2026 to 01st Aug-2026)</t>
  </si>
  <si>
    <t xml:space="preserve">BALANCE SHEET AS AT </t>
  </si>
  <si>
    <t>2026/08/01 to</t>
  </si>
  <si>
    <t>US$</t>
  </si>
  <si>
    <t>Notes</t>
  </si>
  <si>
    <t>Note</t>
  </si>
  <si>
    <t>USD$</t>
  </si>
  <si>
    <t>CURRENT ASSETS</t>
  </si>
  <si>
    <t>Current assets</t>
  </si>
  <si>
    <t>Amount due from a director</t>
  </si>
  <si>
    <t>Accounts Receivable</t>
  </si>
  <si>
    <t xml:space="preserve">     Balance due from MSTS (cash surplus)</t>
  </si>
  <si>
    <t xml:space="preserve">     Balance due from OWNER (cash surplus)</t>
  </si>
  <si>
    <t xml:space="preserve">     Balance due from Take-over (cash surplus)</t>
  </si>
  <si>
    <t xml:space="preserve">     Balance due from Drydocking (cash surplus)</t>
  </si>
  <si>
    <t xml:space="preserve">     Balance due from BMA (cash surplus)</t>
  </si>
  <si>
    <t xml:space="preserve">     Actual accounts receivable</t>
  </si>
  <si>
    <t>Less: Current liabilities</t>
  </si>
  <si>
    <t>Prepayments</t>
  </si>
  <si>
    <t>Accured expenses</t>
  </si>
  <si>
    <t>Other Receivables</t>
  </si>
  <si>
    <r>
      <rPr>
        <sz val="10"/>
        <rFont val="宋体"/>
        <charset val="134"/>
      </rPr>
      <t>费用</t>
    </r>
    <r>
      <rPr>
        <sz val="10"/>
        <rFont val="Arial"/>
        <charset val="134"/>
      </rPr>
      <t xml:space="preserve"> + </t>
    </r>
    <r>
      <rPr>
        <sz val="10"/>
        <rFont val="宋体"/>
        <charset val="134"/>
      </rPr>
      <t>待付款</t>
    </r>
    <r>
      <rPr>
        <sz val="10"/>
        <rFont val="Arial"/>
        <charset val="134"/>
      </rPr>
      <t xml:space="preserve"> + </t>
    </r>
    <r>
      <rPr>
        <sz val="10"/>
        <rFont val="宋体"/>
        <charset val="134"/>
      </rPr>
      <t>拨付备用金</t>
    </r>
  </si>
  <si>
    <t>Net Current Assets/(Liabilities)</t>
  </si>
  <si>
    <t>CURRENT LIABILITIES</t>
  </si>
  <si>
    <t>Net Assets/(Liabilities)</t>
  </si>
  <si>
    <t>Accounts Payable</t>
  </si>
  <si>
    <t xml:space="preserve">     Balance due to MSTS (cash deficit)</t>
  </si>
  <si>
    <t xml:space="preserve">     Actual accounts payable</t>
  </si>
  <si>
    <t>Equity</t>
  </si>
  <si>
    <t>Accruals</t>
  </si>
  <si>
    <t>Share capital</t>
  </si>
  <si>
    <t>Issued &amp; Fully Paid 10,000 ordinary shares</t>
  </si>
  <si>
    <t>Retained earnings/(losses)</t>
  </si>
  <si>
    <t>NET CURRENT ASSETS / (LIABILITIES)</t>
  </si>
  <si>
    <t>Pioneer Lady 费用总结：</t>
  </si>
  <si>
    <t>日期：</t>
  </si>
  <si>
    <t>FINANCED BY :</t>
  </si>
  <si>
    <t>XCL Aires Ltd单船船东总收入</t>
  </si>
  <si>
    <t>Pioneer Lady 银行卡账户余额：</t>
  </si>
  <si>
    <t>Prior Year Balance Surplus / (Deficit) Brought Forward</t>
  </si>
  <si>
    <t>Pioneer Lady 船长 CTM 余额：</t>
  </si>
  <si>
    <t>非预算待收</t>
  </si>
  <si>
    <t>1：Pioneer Lady 船管费用总计</t>
  </si>
  <si>
    <t>Operating Cost for the Period</t>
  </si>
  <si>
    <t>2, 2A</t>
  </si>
  <si>
    <t>2：Pioneer Lady 帮船东支付总计：</t>
  </si>
  <si>
    <t>Payment on behalf of Owner</t>
  </si>
  <si>
    <t>3：Pioneer Lady 接船管费用总计：</t>
  </si>
  <si>
    <t>Operating Fund Paid to Manager for the Period</t>
  </si>
  <si>
    <r>
      <t>4</t>
    </r>
    <r>
      <rPr>
        <sz val="10"/>
        <rFont val="宋体"/>
        <charset val="134"/>
      </rPr>
      <t>：</t>
    </r>
    <r>
      <rPr>
        <sz val="10"/>
        <rFont val="Arial"/>
        <charset val="134"/>
      </rPr>
      <t xml:space="preserve">Pioneer Lady </t>
    </r>
    <r>
      <rPr>
        <sz val="10"/>
        <rFont val="宋体"/>
        <charset val="134"/>
      </rPr>
      <t>换船旗为巴哈马费用总计</t>
    </r>
  </si>
  <si>
    <r>
      <t>5</t>
    </r>
    <r>
      <rPr>
        <sz val="10"/>
        <rFont val="宋体"/>
        <charset val="134"/>
      </rPr>
      <t>：</t>
    </r>
    <r>
      <rPr>
        <sz val="10"/>
        <rFont val="Arial"/>
        <charset val="134"/>
      </rPr>
      <t>Pioneer Lady</t>
    </r>
    <r>
      <rPr>
        <sz val="10"/>
        <rFont val="宋体"/>
        <charset val="134"/>
      </rPr>
      <t>修船干坞费用费用合计：</t>
    </r>
  </si>
  <si>
    <t>AMOUNT DUE TO MSTS Shipmanagement (HK) Limited</t>
  </si>
  <si>
    <t>平衡账（总支付−银行−费用−船上备用金）：</t>
  </si>
  <si>
    <t>总结：</t>
  </si>
  <si>
    <t>MV Pioneer Lady</t>
  </si>
  <si>
    <t>PO</t>
  </si>
  <si>
    <t>Invoice</t>
  </si>
  <si>
    <t>Bank</t>
  </si>
  <si>
    <t>C/N</t>
  </si>
  <si>
    <t>日期</t>
  </si>
  <si>
    <t>收款方</t>
  </si>
  <si>
    <t>付款方</t>
  </si>
  <si>
    <t>付款额</t>
  </si>
  <si>
    <t>船员工资-9</t>
  </si>
  <si>
    <t>船员GIB上船</t>
  </si>
  <si>
    <t>船员跟船</t>
  </si>
  <si>
    <t>CTM</t>
  </si>
  <si>
    <t>Description</t>
  </si>
  <si>
    <t>Amount</t>
  </si>
  <si>
    <t>Accrual</t>
  </si>
  <si>
    <t>Receiving</t>
  </si>
  <si>
    <t>Received</t>
  </si>
  <si>
    <t>Approved</t>
  </si>
  <si>
    <t>Paying</t>
  </si>
  <si>
    <t>Completed</t>
  </si>
  <si>
    <t>Charge</t>
  </si>
  <si>
    <t>Accural</t>
  </si>
  <si>
    <t>Profit(01)</t>
  </si>
  <si>
    <t>船员工资-10</t>
  </si>
  <si>
    <t>代付WB工资</t>
  </si>
  <si>
    <t>Shipmanagement TT RCVD</t>
  </si>
  <si>
    <t>Shipmanagement Cost</t>
  </si>
  <si>
    <t>Owner Expenses</t>
  </si>
  <si>
    <t>Take-Over Cost</t>
  </si>
  <si>
    <t>BMA Flag Change</t>
  </si>
  <si>
    <t>Expenses Lists</t>
  </si>
  <si>
    <t>Diff in Expenses(must 0):</t>
  </si>
  <si>
    <t>Shipmanagement Expenses</t>
  </si>
  <si>
    <t>Non-Budget, Owner Expenses</t>
  </si>
  <si>
    <t xml:space="preserve">Take-Over Expenses </t>
  </si>
  <si>
    <t>MSTS</t>
  </si>
  <si>
    <t>Real-time Account Position</t>
  </si>
  <si>
    <t>RCVD</t>
  </si>
  <si>
    <t>Cost</t>
  </si>
  <si>
    <t>Balance</t>
  </si>
  <si>
    <t>Profit(02)</t>
  </si>
  <si>
    <t>BMA Flag Change, Owner Expenses</t>
  </si>
  <si>
    <t>美元</t>
  </si>
  <si>
    <t>入账</t>
  </si>
  <si>
    <t>港币</t>
  </si>
  <si>
    <t>出账</t>
  </si>
  <si>
    <t>欧元</t>
  </si>
  <si>
    <t>结息</t>
  </si>
  <si>
    <t>船队其他船</t>
  </si>
  <si>
    <t>实时单船账户</t>
  </si>
  <si>
    <t>Libra-XS</t>
  </si>
  <si>
    <t>海事管理（MV PIONEER LADY）公司账目一览</t>
  </si>
  <si>
    <t>PIONEER LADY银行卡vs账面:</t>
  </si>
  <si>
    <t>Pioneer Lady</t>
  </si>
  <si>
    <t>MV PIONEER LADY（发票）付款进度概要</t>
  </si>
  <si>
    <t>PIONEER LADY待支付:</t>
  </si>
  <si>
    <t>CBL Spring</t>
  </si>
  <si>
    <t>海事下订单</t>
  </si>
  <si>
    <t>PIONEER LADY(MSTS)收入:</t>
  </si>
  <si>
    <t>CBL Summer</t>
  </si>
  <si>
    <r>
      <rPr>
        <b/>
        <sz val="10"/>
        <rFont val="Arial"/>
        <charset val="134"/>
      </rPr>
      <t xml:space="preserve">CTM ROB </t>
    </r>
    <r>
      <rPr>
        <b/>
        <sz val="10"/>
        <rFont val="微软雅黑"/>
        <charset val="134"/>
      </rPr>
      <t>船上现金资产</t>
    </r>
    <r>
      <rPr>
        <b/>
        <sz val="10"/>
        <rFont val="Arial"/>
        <charset val="134"/>
      </rPr>
      <t>:</t>
    </r>
  </si>
  <si>
    <t>船管账户现金流</t>
  </si>
  <si>
    <t>MV PIONEER LADY (星展银行) 账户进/出账目记录</t>
  </si>
  <si>
    <t>银行付款手续费:</t>
  </si>
  <si>
    <t>PIONEER LADY单船财务平衡:</t>
  </si>
  <si>
    <t>银行账户短息</t>
  </si>
  <si>
    <t>序号</t>
  </si>
  <si>
    <t>币种</t>
  </si>
  <si>
    <t>账户</t>
  </si>
  <si>
    <t>入账/出账</t>
  </si>
  <si>
    <t>数额</t>
  </si>
  <si>
    <t>PIONEER LADY银行卡PingPong余额:</t>
  </si>
  <si>
    <t>备注</t>
  </si>
  <si>
    <t>差别</t>
  </si>
  <si>
    <t>PIONEER LADY</t>
  </si>
  <si>
    <r>
      <rPr>
        <sz val="10"/>
        <rFont val="Arial"/>
        <charset val="134"/>
      </rPr>
      <t>PIONEER LADY</t>
    </r>
    <r>
      <rPr>
        <sz val="10"/>
        <rFont val="等线"/>
        <charset val="134"/>
      </rPr>
      <t>付款失败</t>
    </r>
  </si>
  <si>
    <t>入账日期</t>
  </si>
  <si>
    <t>类型</t>
  </si>
  <si>
    <t>RQA</t>
  </si>
  <si>
    <t>Supplier</t>
  </si>
  <si>
    <t>PO Nos</t>
  </si>
  <si>
    <t>PO Current</t>
  </si>
  <si>
    <t>Rating</t>
  </si>
  <si>
    <t>Shipmanagement Amount(USD)</t>
  </si>
  <si>
    <t>Take-Over Account</t>
  </si>
  <si>
    <t>Owner Cost</t>
  </si>
  <si>
    <t>DD Cost</t>
  </si>
  <si>
    <t>Date</t>
  </si>
  <si>
    <t>Bank Charge</t>
  </si>
  <si>
    <t>Uploaded</t>
  </si>
  <si>
    <t>顾问的费用-王总</t>
  </si>
  <si>
    <t>VENTURE MARITIME (HONG KONG) LIMITED</t>
  </si>
  <si>
    <t>HK Payee Advice_700a20625e0b477d8a20625e0b577dbb.pdf</t>
  </si>
  <si>
    <t>BMA Flag Change 9月份换船旗费用</t>
  </si>
  <si>
    <t>XCL ARIES LTD</t>
  </si>
  <si>
    <t xml:space="preserve">Take-Over Cost9月份船东费用 </t>
  </si>
  <si>
    <t xml:space="preserve">Owner Cost 9月份船东费用 </t>
  </si>
  <si>
    <t>船舶管理运营拨款10月份</t>
  </si>
  <si>
    <t>BMA Flag Change 8月份换船旗费用</t>
  </si>
  <si>
    <t>63f3beff3842f8c1ab8873eb8078536d.pdf</t>
  </si>
  <si>
    <t xml:space="preserve">Take-Over Cost 8月份船东费用 </t>
  </si>
  <si>
    <t xml:space="preserve">Owner Cost 8月份船东费用 </t>
  </si>
  <si>
    <t>船舶管理运营拨款9月份</t>
  </si>
  <si>
    <t>GRESIK加淡水100吨</t>
  </si>
  <si>
    <t>电子回单详情.pdf</t>
  </si>
  <si>
    <t>船舶管理运营拨款8月份</t>
  </si>
  <si>
    <t>接船费预付款</t>
  </si>
  <si>
    <t>5 Ocean Ship Service (HK) Limited</t>
  </si>
  <si>
    <t>Payment_Certificate_20260723210333.pdf</t>
  </si>
  <si>
    <t>船舶维修服务-ACC Motor repair</t>
  </si>
  <si>
    <t>Payment_Certificate_20260722134815.pdf</t>
  </si>
  <si>
    <t>T/O Date</t>
  </si>
  <si>
    <t>Ship Management Expenses-Rcvd</t>
  </si>
  <si>
    <t>Ship Take-over Expenses-Rcvd</t>
  </si>
  <si>
    <t>Days</t>
  </si>
  <si>
    <t>Non Budget Expenses-Rcvd</t>
  </si>
  <si>
    <t>DD Expenses-Rcvd</t>
  </si>
  <si>
    <t>Others</t>
  </si>
  <si>
    <t>Total Costs</t>
  </si>
  <si>
    <t>OPEX(Including O.B.O Payment)</t>
  </si>
  <si>
    <t>Pay. Approval</t>
  </si>
  <si>
    <t>PO Amount (USD)</t>
  </si>
  <si>
    <t>Account Code</t>
  </si>
  <si>
    <t>GRN/Date</t>
  </si>
  <si>
    <t>GRN Amount(USD)</t>
  </si>
  <si>
    <t>Invoice Amount(USD)</t>
  </si>
  <si>
    <t>C/N,Accural</t>
  </si>
  <si>
    <t>C/N Profit</t>
  </si>
  <si>
    <t>Profit</t>
  </si>
  <si>
    <t>Invoice Date</t>
  </si>
  <si>
    <t>Due Date</t>
  </si>
  <si>
    <t>Payment Status</t>
  </si>
  <si>
    <t>Bank Slip</t>
  </si>
  <si>
    <t>Attachement</t>
  </si>
  <si>
    <t>Invoices</t>
  </si>
  <si>
    <t>Credit Note</t>
  </si>
  <si>
    <t>CTM 月度船上结余</t>
  </si>
  <si>
    <t>9月份船员工资+其他费用</t>
  </si>
  <si>
    <t>Top Marine Limited</t>
  </si>
  <si>
    <t>帮Libra-XS支付巴哈马年度国旗国检验</t>
  </si>
  <si>
    <t>SIMINTEC</t>
  </si>
  <si>
    <t>9月份客餐费用支出</t>
  </si>
  <si>
    <t>9月份全船伙食费支出</t>
  </si>
  <si>
    <t>巴生港锚地检验陪同费</t>
  </si>
  <si>
    <t>Silver Base Maritime Sdn. Bhd.</t>
  </si>
  <si>
    <t>借款给 MULAU SHIPMANAGEMENT (HK) LIMITED付款失败</t>
  </si>
  <si>
    <t>Maritime Solutions Technology Services (HK) Limited</t>
  </si>
  <si>
    <t>借款给 MULAU SHIPMANAGEMENT (HK) LIMITED</t>
  </si>
  <si>
    <t>PIONEER LADY_海卫通卫星通信服务费</t>
  </si>
  <si>
    <t>Marinesat海卫通网络科技有限公司</t>
  </si>
  <si>
    <t>PIONEER LADY_办公租赁费+薪资</t>
  </si>
  <si>
    <t>Termination of FME</t>
  </si>
  <si>
    <t>The LISCR Trust Company</t>
  </si>
  <si>
    <t>LISCR Annual Registration+Agent Fee</t>
  </si>
  <si>
    <t>柯凯敏青岛就医及路费支出</t>
  </si>
  <si>
    <t>678月季度自修奖金支出</t>
  </si>
  <si>
    <t>青岛通用物料申请</t>
  </si>
  <si>
    <t>DPILT26009</t>
  </si>
  <si>
    <t>DanTecs (HK) Marine Solutions Limited</t>
  </si>
  <si>
    <t>PILDT26009</t>
  </si>
  <si>
    <t>青岛港加工缆车刹车操作杆费用-周琦支付</t>
  </si>
  <si>
    <t>青岛代理收 SPRO费用300美元</t>
  </si>
  <si>
    <t>青岛购买BondedStore香烟</t>
  </si>
  <si>
    <t>日照购买Bonded Store酒水等支出</t>
  </si>
  <si>
    <t>青岛港冰机修理</t>
  </si>
  <si>
    <t>GORDON MARINE REFRIGERATION CO.,LTD,</t>
  </si>
  <si>
    <t>冰种+码头管理费</t>
  </si>
  <si>
    <t>EPILT26004</t>
  </si>
  <si>
    <t>PILET26004</t>
  </si>
  <si>
    <t>冲回原船管欠船员7月份伙食费支出</t>
  </si>
  <si>
    <t>办公室杂项费用</t>
  </si>
  <si>
    <t>Pioneer Lady岚桥港值班及交通补贴-周琦RMB3541.02</t>
  </si>
  <si>
    <t>青岛港采购油漆</t>
  </si>
  <si>
    <t>DPILT26008</t>
  </si>
  <si>
    <t>PILDT26008</t>
  </si>
  <si>
    <t>岚桥港舱盖 UT 超声波检验费-Owner Paid</t>
  </si>
  <si>
    <t>REASUN INSURANCE SURVEYORS &amp; ADJUSTERS CO., LTD</t>
  </si>
  <si>
    <t>SY2026080042LND</t>
  </si>
  <si>
    <t>BMA 换旗相关证书费用</t>
  </si>
  <si>
    <t>8 月份船员海外换班费</t>
  </si>
  <si>
    <t>8 月份船员工资</t>
  </si>
  <si>
    <t>提现后的差额费用</t>
  </si>
  <si>
    <t>办公室费用</t>
  </si>
  <si>
    <t>通信数据流量费</t>
  </si>
  <si>
    <t>TELEOCEAN INC</t>
  </si>
  <si>
    <t>Vizada 通信订阅费（8月）</t>
  </si>
  <si>
    <t>MSTS股份转移</t>
  </si>
  <si>
    <t>周老轨岚桥防船代理费用</t>
  </si>
  <si>
    <t>岚桥加淡水200吨</t>
  </si>
  <si>
    <t>海事海关系统更改费用</t>
  </si>
  <si>
    <t>董事长基金-周总</t>
  </si>
  <si>
    <t>8月份客餐费用支出</t>
  </si>
  <si>
    <t>8月份全船伙食费支出</t>
  </si>
  <si>
    <t>化学品</t>
  </si>
  <si>
    <t>EPILT26003</t>
  </si>
  <si>
    <t>PILET26003</t>
  </si>
  <si>
    <t>岚桥采购油漆</t>
  </si>
  <si>
    <t>DPILT26006</t>
  </si>
  <si>
    <t>钧源船舶服务有限公司</t>
  </si>
  <si>
    <t>PILDT26006</t>
  </si>
  <si>
    <t>文具物料</t>
  </si>
  <si>
    <t>DPILT26001</t>
  </si>
  <si>
    <t>PILDT26001</t>
  </si>
  <si>
    <t>甲板物料-2通用物料</t>
  </si>
  <si>
    <t>DPILT26002-2</t>
  </si>
  <si>
    <t>PILDT26002-2</t>
  </si>
  <si>
    <t>甲板物料-1缆绳检测仪+耳机</t>
  </si>
  <si>
    <t>DPILT26002-1</t>
  </si>
  <si>
    <t>PILDT26002-1</t>
  </si>
  <si>
    <t>救生和消防物料</t>
  </si>
  <si>
    <t>DPILT26003</t>
  </si>
  <si>
    <t>PILDT26003</t>
  </si>
  <si>
    <t>生活物料</t>
  </si>
  <si>
    <t>DPILT26004</t>
  </si>
  <si>
    <t>PILDT26004</t>
  </si>
  <si>
    <t>药品及医疗器材</t>
  </si>
  <si>
    <t>DPILT26005</t>
  </si>
  <si>
    <t>PILDT26005</t>
  </si>
  <si>
    <t>主机缸盖</t>
  </si>
  <si>
    <t>EPILP26001</t>
  </si>
  <si>
    <t>PILEP26001</t>
  </si>
  <si>
    <t>主机缸套</t>
  </si>
  <si>
    <t>EPILP26002</t>
  </si>
  <si>
    <t>ZHOUSHAN HAISHAN MARINE SERVICE CO., LIMITED</t>
  </si>
  <si>
    <t>PILEP26002</t>
  </si>
  <si>
    <t>主机燃油阀</t>
  </si>
  <si>
    <t>EPILP26003</t>
  </si>
  <si>
    <t>PILEP26003</t>
  </si>
  <si>
    <t>主机填料涵</t>
  </si>
  <si>
    <t>EPILP26004</t>
  </si>
  <si>
    <t>PILEP26004</t>
  </si>
  <si>
    <t>主机震动缓冲器</t>
  </si>
  <si>
    <t>EPILP26005</t>
  </si>
  <si>
    <t>PILEP26005</t>
  </si>
  <si>
    <t>主机排气阀</t>
  </si>
  <si>
    <t>EPILP26006</t>
  </si>
  <si>
    <t>PILEP26006</t>
  </si>
  <si>
    <t>主机供油单元</t>
  </si>
  <si>
    <t>EPILP26007</t>
  </si>
  <si>
    <t>PILEP26007</t>
  </si>
  <si>
    <t>滑油分油机</t>
  </si>
  <si>
    <t>EPILP26008</t>
  </si>
  <si>
    <t>PILEP26008</t>
  </si>
  <si>
    <t>发电机</t>
  </si>
  <si>
    <t>EPILP26009</t>
  </si>
  <si>
    <t>RMS MARINE SERVICE COMPANY LTD</t>
  </si>
  <si>
    <t>PILEP26009</t>
  </si>
  <si>
    <t>发电机增压器</t>
  </si>
  <si>
    <t>EPILP26010</t>
  </si>
  <si>
    <t>PILEP26010</t>
  </si>
  <si>
    <t>主空压机</t>
  </si>
  <si>
    <t>EPILP26011</t>
  </si>
  <si>
    <t>PILEP26011</t>
  </si>
  <si>
    <t>燃油分油机</t>
  </si>
  <si>
    <t>EPILP26012</t>
  </si>
  <si>
    <t>PILEP26012</t>
  </si>
  <si>
    <t>造水机</t>
  </si>
  <si>
    <t>EPILP26013</t>
  </si>
  <si>
    <t>PILEP26013</t>
  </si>
  <si>
    <t>汽笛+运费</t>
  </si>
  <si>
    <t>EPILP26015</t>
  </si>
  <si>
    <t xml:space="preserve">ZHOUSHAN HAISHAN MARINE SERVICE CO., LIMITED </t>
  </si>
  <si>
    <t>PILEP26015</t>
  </si>
  <si>
    <t>压载水处理系统</t>
  </si>
  <si>
    <t>EPILP26017</t>
  </si>
  <si>
    <t>PILEP26017</t>
  </si>
  <si>
    <t>甲板克令吊</t>
  </si>
  <si>
    <t>EPILP26019</t>
  </si>
  <si>
    <t>PILEP26019</t>
  </si>
  <si>
    <t>生活污水处理装置</t>
  </si>
  <si>
    <t>EPILP26020</t>
  </si>
  <si>
    <t>PILEP26020</t>
  </si>
  <si>
    <t>压载泵</t>
  </si>
  <si>
    <t>EPILP26021</t>
  </si>
  <si>
    <t>PILEP26021</t>
  </si>
  <si>
    <t>消防泵备件(Fire &amp; G/S RVP160S SHINKO)</t>
  </si>
  <si>
    <t>EPILP26022</t>
  </si>
  <si>
    <t>PILEP26022</t>
  </si>
  <si>
    <t>EPILP26023</t>
  </si>
  <si>
    <t>PILEP26023</t>
  </si>
  <si>
    <t>液压块</t>
  </si>
  <si>
    <t>EPILP26024</t>
  </si>
  <si>
    <t>PILEP26024</t>
  </si>
  <si>
    <t>2号滑油分油机马达</t>
  </si>
  <si>
    <t>EPILP26025</t>
  </si>
  <si>
    <t>PILEP26025</t>
  </si>
  <si>
    <t>机舱半年 通用物料申请单</t>
  </si>
  <si>
    <t>EPILT26001</t>
  </si>
  <si>
    <t>PILET26001</t>
  </si>
  <si>
    <t>救生消防年检</t>
  </si>
  <si>
    <t>通导设备修理</t>
  </si>
  <si>
    <t>Fuzhou Changxin Electronic Co.,Ltd</t>
  </si>
  <si>
    <t>冰机压缩机一台—周总支付</t>
  </si>
  <si>
    <t>GORDON MARINE REFRIGERATION CO.,LTD</t>
  </si>
  <si>
    <t>付款没付成功，银行扣款手续费USD50</t>
  </si>
  <si>
    <t>HOMONHON水手张善钧购药支出</t>
  </si>
  <si>
    <t>气瓶押金</t>
  </si>
  <si>
    <t>Wilhelmsen Ships Service AS</t>
  </si>
  <si>
    <t>S10329491</t>
  </si>
  <si>
    <t>V2605扫洗舱劳务费</t>
  </si>
  <si>
    <t>Water ingress detection 备件 - 潜水式压力变送器 LMK457</t>
  </si>
  <si>
    <t>OCEAN FLEET (HK) SPARE PARTS CO., LIMITED</t>
  </si>
  <si>
    <t>PILM26052101</t>
  </si>
  <si>
    <t>BMA Flag Statutory Record Book</t>
  </si>
  <si>
    <t>DANTECS (HK) MARINE SOLUTIONS LIMITED</t>
  </si>
  <si>
    <t>Flag Change Radio Survey Charge</t>
  </si>
  <si>
    <t>菲律宾 CTM 代理代办服务费</t>
  </si>
  <si>
    <t>TOP MARINE LIMITED</t>
  </si>
  <si>
    <t>代理给船长5万备用金</t>
  </si>
  <si>
    <t>BMA Flag register Fee-Owner Paid</t>
  </si>
  <si>
    <t>OCEAN QUEEN SHIPPING CO.,LTD.</t>
  </si>
  <si>
    <t>Vizada 通信订阅费（接船）</t>
  </si>
  <si>
    <t>改船籍港特殊劳务费200美元</t>
  </si>
  <si>
    <t>原船管欠船员7月份伙食费支出</t>
  </si>
  <si>
    <t>LR船检两名外锚地登离船代理费用支出</t>
  </si>
  <si>
    <t>GMDSS年检共工程师登离船代理费用支出</t>
  </si>
  <si>
    <t>AAIC 接船相关费用（年费+LOG+旗国激活+押金）</t>
  </si>
  <si>
    <t>LISCR Deletion Overtime Cost-Owner Paid</t>
  </si>
  <si>
    <t>LISCR Flag</t>
  </si>
  <si>
    <t>制作新船章两枚</t>
  </si>
  <si>
    <t>BMA Pre-inspection Fee-Owner Paid</t>
  </si>
  <si>
    <t>Intermaritime Group Services</t>
  </si>
  <si>
    <t>招待费—周琦支付</t>
  </si>
  <si>
    <t>CTM RMB100,000 hand carried onboard when tookover vessel≈14815美元</t>
  </si>
  <si>
    <t>LISCR Deletion Charge-Owner Paid</t>
  </si>
  <si>
    <t>Action</t>
  </si>
  <si>
    <t>Food</t>
  </si>
  <si>
    <t>Store</t>
  </si>
  <si>
    <t>out</t>
  </si>
  <si>
    <t>9月份客餐费用支出249美元.pdf</t>
  </si>
  <si>
    <t>2026年9月份伙食费收据5592美元.pdf</t>
  </si>
  <si>
    <t>柯凯敏青岛就医及路费支出149美元.pdf</t>
  </si>
  <si>
    <t>678月自修奖金支出3000美元.pdf</t>
  </si>
  <si>
    <t>青岛代理收SPRO 费用300美元.pdf</t>
  </si>
  <si>
    <t>青岛购买Bonded Store香烟1010美元.pdf</t>
  </si>
  <si>
    <r>
      <rPr>
        <u/>
        <sz val="10"/>
        <color rgb="FF800080"/>
        <rFont val="宋体"/>
        <charset val="134"/>
      </rPr>
      <t>日照购买</t>
    </r>
    <r>
      <rPr>
        <u/>
        <sz val="10"/>
        <color rgb="FF800080"/>
        <rFont val="Arial"/>
        <charset val="134"/>
      </rPr>
      <t>Bonded Store</t>
    </r>
    <r>
      <rPr>
        <u/>
        <sz val="10"/>
        <color rgb="FF800080"/>
        <rFont val="宋体"/>
        <charset val="134"/>
      </rPr>
      <t>酒水等支出</t>
    </r>
    <r>
      <rPr>
        <u/>
        <sz val="10"/>
        <color rgb="FF800080"/>
        <rFont val="Arial"/>
        <charset val="134"/>
      </rPr>
      <t>293</t>
    </r>
    <r>
      <rPr>
        <u/>
        <sz val="10"/>
        <color rgb="FF800080"/>
        <rFont val="宋体"/>
        <charset val="134"/>
      </rPr>
      <t>美元</t>
    </r>
    <r>
      <rPr>
        <u/>
        <sz val="10"/>
        <color rgb="FF800080"/>
        <rFont val="Arial"/>
        <charset val="134"/>
      </rPr>
      <t>.pdf</t>
    </r>
  </si>
  <si>
    <r>
      <rPr>
        <u/>
        <sz val="10"/>
        <color rgb="FF800080"/>
        <rFont val="宋体"/>
        <charset val="134"/>
      </rPr>
      <t>机务访船代理费</t>
    </r>
    <r>
      <rPr>
        <u/>
        <sz val="10"/>
        <color rgb="FF800080"/>
        <rFont val="Arial"/>
        <charset val="134"/>
      </rPr>
      <t>120</t>
    </r>
    <r>
      <rPr>
        <u/>
        <sz val="10"/>
        <color rgb="FF800080"/>
        <rFont val="宋体"/>
        <charset val="134"/>
      </rPr>
      <t>美元</t>
    </r>
    <r>
      <rPr>
        <u/>
        <sz val="10"/>
        <color rgb="FF800080"/>
        <rFont val="Arial"/>
        <charset val="134"/>
      </rPr>
      <t>.pdf</t>
    </r>
  </si>
  <si>
    <r>
      <rPr>
        <u/>
        <sz val="10"/>
        <color rgb="FF800080"/>
        <rFont val="宋体"/>
        <charset val="134"/>
      </rPr>
      <t>岚桥加淡水费用</t>
    </r>
    <r>
      <rPr>
        <u/>
        <sz val="10"/>
        <color rgb="FF800080"/>
        <rFont val="Arial"/>
        <charset val="134"/>
      </rPr>
      <t>1400</t>
    </r>
    <r>
      <rPr>
        <u/>
        <sz val="10"/>
        <color rgb="FF800080"/>
        <rFont val="宋体"/>
        <charset val="134"/>
      </rPr>
      <t>美元</t>
    </r>
    <r>
      <rPr>
        <u/>
        <sz val="10"/>
        <color rgb="FF800080"/>
        <rFont val="Arial"/>
        <charset val="134"/>
      </rPr>
      <t>.pdf</t>
    </r>
  </si>
  <si>
    <r>
      <rPr>
        <u/>
        <sz val="10"/>
        <color rgb="FF800080"/>
        <rFont val="宋体"/>
        <charset val="134"/>
      </rPr>
      <t>海事海关系统更改费用</t>
    </r>
    <r>
      <rPr>
        <u/>
        <sz val="10"/>
        <color rgb="FF800080"/>
        <rFont val="Arial"/>
        <charset val="134"/>
      </rPr>
      <t>375</t>
    </r>
    <r>
      <rPr>
        <u/>
        <sz val="10"/>
        <color rgb="FF800080"/>
        <rFont val="宋体"/>
        <charset val="134"/>
      </rPr>
      <t>美元</t>
    </r>
    <r>
      <rPr>
        <u/>
        <sz val="10"/>
        <color rgb="FF800080"/>
        <rFont val="Arial"/>
        <charset val="134"/>
      </rPr>
      <t>.pdf</t>
    </r>
  </si>
  <si>
    <t>8月份客餐费用支出.pdf</t>
  </si>
  <si>
    <t>8月份船员伙食费用支出.pdf</t>
  </si>
  <si>
    <t>HOMONHON张善钧购药支出.pdf</t>
  </si>
  <si>
    <t>PAYMENT LIST OF V2605 HOLD CLEANING BONUS.pdf</t>
  </si>
  <si>
    <t>交付船长备用金</t>
  </si>
  <si>
    <t>In</t>
  </si>
  <si>
    <t>12‑Aug‑26</t>
  </si>
  <si>
    <t>CTM 50000USD RECEIPT.pdf</t>
  </si>
  <si>
    <t>改船籍港特殊劳务费200美元.pdf</t>
  </si>
  <si>
    <r>
      <rPr>
        <u/>
        <sz val="10"/>
        <color theme="10"/>
        <rFont val="Arial"/>
        <charset val="134"/>
      </rPr>
      <t>7</t>
    </r>
    <r>
      <rPr>
        <u/>
        <sz val="10"/>
        <color theme="10"/>
        <rFont val="等线"/>
        <charset val="134"/>
      </rPr>
      <t>月份原船管伙食欠款</t>
    </r>
    <r>
      <rPr>
        <u/>
        <sz val="10"/>
        <color theme="10"/>
        <rFont val="Arial"/>
        <charset val="134"/>
      </rPr>
      <t>1544</t>
    </r>
    <r>
      <rPr>
        <u/>
        <sz val="10"/>
        <color theme="10"/>
        <rFont val="等线"/>
        <charset val="134"/>
      </rPr>
      <t>美元收据</t>
    </r>
  </si>
  <si>
    <t>LR 两名船检猫的登离船代理费用支出.pdf</t>
  </si>
  <si>
    <t>GMDSS年检工程师登离轮代理费支出.pdf</t>
  </si>
  <si>
    <t>Gresik加淡水100吨.pdf</t>
  </si>
  <si>
    <t>制作两枚船章.pdf</t>
  </si>
  <si>
    <t>备用金收据14815USD.pdf</t>
  </si>
  <si>
    <r>
      <rPr>
        <sz val="9"/>
        <color theme="1"/>
        <rFont val="Arial"/>
        <charset val="134"/>
      </rPr>
      <t xml:space="preserve">CTM </t>
    </r>
    <r>
      <rPr>
        <sz val="9"/>
        <color theme="1"/>
        <rFont val="宋体"/>
        <charset val="134"/>
      </rPr>
      <t>月度船上结余</t>
    </r>
  </si>
  <si>
    <t>PIONEER LADY 9月账单(1).pdf</t>
  </si>
  <si>
    <r>
      <t>帮</t>
    </r>
    <r>
      <rPr>
        <sz val="9"/>
        <rFont val="Arial"/>
        <charset val="134"/>
      </rPr>
      <t>Libra-XS</t>
    </r>
    <r>
      <rPr>
        <sz val="9"/>
        <rFont val="宋体"/>
        <charset val="134"/>
      </rPr>
      <t>支付巴哈马年度国旗国检验</t>
    </r>
  </si>
  <si>
    <t>Payment_Certificate_20260930094805(1).pdf</t>
  </si>
  <si>
    <r>
      <rPr>
        <sz val="9"/>
        <rFont val="Arial"/>
        <charset val="134"/>
      </rPr>
      <t>9</t>
    </r>
    <r>
      <rPr>
        <sz val="9"/>
        <rFont val="宋体"/>
        <charset val="134"/>
      </rPr>
      <t>月份全船伙食费支出</t>
    </r>
  </si>
  <si>
    <r>
      <rPr>
        <sz val="9"/>
        <rFont val="宋体"/>
        <charset val="134"/>
      </rPr>
      <t>借款给</t>
    </r>
    <r>
      <rPr>
        <sz val="9"/>
        <rFont val="Arial"/>
        <charset val="134"/>
      </rPr>
      <t xml:space="preserve"> MULAU SHIPMANAGEMENT (HK) LIMITED</t>
    </r>
    <r>
      <rPr>
        <sz val="9"/>
        <rFont val="宋体"/>
        <charset val="134"/>
      </rPr>
      <t>付款失败</t>
    </r>
  </si>
  <si>
    <r>
      <rPr>
        <sz val="9"/>
        <rFont val="宋体"/>
        <charset val="134"/>
      </rPr>
      <t>借款给</t>
    </r>
    <r>
      <rPr>
        <sz val="9"/>
        <rFont val="Arial"/>
        <charset val="134"/>
      </rPr>
      <t xml:space="preserve"> MULAU SHIPMANAGEMENT (HK) LIMITED</t>
    </r>
  </si>
  <si>
    <r>
      <rPr>
        <sz val="9"/>
        <rFont val="Arial"/>
        <charset val="134"/>
      </rPr>
      <t>PIONEER LADY_</t>
    </r>
    <r>
      <rPr>
        <sz val="9"/>
        <rFont val="宋体"/>
        <charset val="134"/>
      </rPr>
      <t>海卫通卫星通信服务费</t>
    </r>
  </si>
  <si>
    <r>
      <rPr>
        <sz val="9"/>
        <rFont val="Arial"/>
        <charset val="134"/>
      </rPr>
      <t>Marinesat</t>
    </r>
    <r>
      <rPr>
        <sz val="9"/>
        <rFont val="宋体"/>
        <charset val="134"/>
      </rPr>
      <t>海卫通网络科技有限公司</t>
    </r>
  </si>
  <si>
    <t>SC0026080016-PIONEER LADY-Maritime Solutions Technology Service (HK) Limited-20260831.pdf</t>
  </si>
  <si>
    <r>
      <rPr>
        <sz val="9"/>
        <rFont val="宋体"/>
        <charset val="134"/>
      </rPr>
      <t>PIONEER LADY_办公租赁费</t>
    </r>
    <r>
      <rPr>
        <sz val="9"/>
        <rFont val="Arial"/>
        <charset val="134"/>
      </rPr>
      <t>+</t>
    </r>
    <r>
      <rPr>
        <sz val="9"/>
        <rFont val="宋体"/>
        <charset val="134"/>
      </rPr>
      <t>薪资</t>
    </r>
  </si>
  <si>
    <t>20260930周总提现30000USD.pdf</t>
  </si>
  <si>
    <t>Invoice--单船开形式发票-Pioneer Lady办公室租金+员工薪资.pdf</t>
  </si>
  <si>
    <r>
      <rPr>
        <sz val="9"/>
        <rFont val="Arial"/>
        <charset val="134"/>
      </rPr>
      <t>2026</t>
    </r>
    <r>
      <rPr>
        <sz val="9"/>
        <rFont val="宋体"/>
        <charset val="134"/>
      </rPr>
      <t>年</t>
    </r>
    <r>
      <rPr>
        <sz val="9"/>
        <rFont val="Arial"/>
        <charset val="134"/>
      </rPr>
      <t>6,7,8</t>
    </r>
    <r>
      <rPr>
        <sz val="9"/>
        <rFont val="宋体"/>
        <charset val="134"/>
      </rPr>
      <t>月季度自修奖金支出</t>
    </r>
  </si>
  <si>
    <r>
      <rPr>
        <u/>
        <sz val="9"/>
        <color rgb="FF800080"/>
        <rFont val="Arial"/>
        <charset val="134"/>
      </rPr>
      <t>678</t>
    </r>
    <r>
      <rPr>
        <u/>
        <sz val="9"/>
        <color rgb="FF800080"/>
        <rFont val="宋体"/>
        <charset val="134"/>
      </rPr>
      <t>月自修奖金支出</t>
    </r>
    <r>
      <rPr>
        <u/>
        <sz val="9"/>
        <color rgb="FF800080"/>
        <rFont val="Arial"/>
        <charset val="134"/>
      </rPr>
      <t>3000</t>
    </r>
    <r>
      <rPr>
        <u/>
        <sz val="9"/>
        <color rgb="FF800080"/>
        <rFont val="宋体"/>
        <charset val="134"/>
      </rPr>
      <t>美元</t>
    </r>
    <r>
      <rPr>
        <u/>
        <sz val="9"/>
        <color rgb="FF800080"/>
        <rFont val="Arial"/>
        <charset val="134"/>
      </rPr>
      <t>.pdf</t>
    </r>
  </si>
  <si>
    <r>
      <rPr>
        <sz val="9"/>
        <rFont val="宋体"/>
        <charset val="134"/>
      </rPr>
      <t>柯凯敏青岛就医及路费支出</t>
    </r>
  </si>
  <si>
    <r>
      <rPr>
        <sz val="9"/>
        <rFont val="宋体"/>
        <charset val="134"/>
      </rPr>
      <t>青岛代理收</t>
    </r>
    <r>
      <rPr>
        <sz val="9"/>
        <rFont val="Arial"/>
        <charset val="134"/>
      </rPr>
      <t xml:space="preserve"> SPRO</t>
    </r>
    <r>
      <rPr>
        <sz val="9"/>
        <rFont val="宋体"/>
        <charset val="134"/>
      </rPr>
      <t>费用</t>
    </r>
    <r>
      <rPr>
        <sz val="9"/>
        <rFont val="Arial"/>
        <charset val="134"/>
      </rPr>
      <t>300</t>
    </r>
    <r>
      <rPr>
        <sz val="9"/>
        <rFont val="宋体"/>
        <charset val="134"/>
      </rPr>
      <t>美元</t>
    </r>
  </si>
  <si>
    <r>
      <rPr>
        <sz val="9"/>
        <rFont val="宋体"/>
        <charset val="134"/>
      </rPr>
      <t>青岛购买</t>
    </r>
    <r>
      <rPr>
        <sz val="9"/>
        <rFont val="Arial"/>
        <charset val="134"/>
      </rPr>
      <t>BondedStore</t>
    </r>
    <r>
      <rPr>
        <sz val="9"/>
        <rFont val="宋体"/>
        <charset val="134"/>
      </rPr>
      <t>香烟</t>
    </r>
  </si>
  <si>
    <r>
      <rPr>
        <sz val="9"/>
        <rFont val="宋体"/>
        <charset val="134"/>
      </rPr>
      <t>日照购买</t>
    </r>
    <r>
      <rPr>
        <sz val="9"/>
        <rFont val="Arial"/>
        <charset val="134"/>
      </rPr>
      <t>Bonded Store</t>
    </r>
    <r>
      <rPr>
        <sz val="9"/>
        <rFont val="宋体"/>
        <charset val="134"/>
      </rPr>
      <t>酒水等支出</t>
    </r>
  </si>
  <si>
    <t>日照购买Bonded Store酒水等支出293美元(1).pdf</t>
  </si>
  <si>
    <r>
      <rPr>
        <sz val="9"/>
        <rFont val="新宋体"/>
        <charset val="134"/>
      </rPr>
      <t>冲回原船管欠船员</t>
    </r>
    <r>
      <rPr>
        <sz val="9"/>
        <rFont val="Arial"/>
        <charset val="134"/>
      </rPr>
      <t>7</t>
    </r>
    <r>
      <rPr>
        <sz val="9"/>
        <rFont val="新宋体"/>
        <charset val="134"/>
      </rPr>
      <t>月份伙食费支出</t>
    </r>
  </si>
  <si>
    <r>
      <rPr>
        <sz val="9"/>
        <rFont val="新宋体"/>
        <charset val="134"/>
      </rPr>
      <t>办公室杂项费用</t>
    </r>
  </si>
  <si>
    <r>
      <rPr>
        <u/>
        <sz val="10"/>
        <color rgb="FF800080"/>
        <rFont val="宋体"/>
        <charset val="134"/>
      </rPr>
      <t>办公室费用</t>
    </r>
    <r>
      <rPr>
        <u/>
        <sz val="10"/>
        <color rgb="FF800080"/>
        <rFont val="Arial"/>
        <charset val="134"/>
      </rPr>
      <t>-</t>
    </r>
    <r>
      <rPr>
        <u/>
        <sz val="10"/>
        <color rgb="FF800080"/>
        <rFont val="宋体"/>
        <charset val="134"/>
      </rPr>
      <t>深圳博远</t>
    </r>
    <r>
      <rPr>
        <u/>
        <sz val="10"/>
        <color rgb="FF800080"/>
        <rFont val="Arial"/>
        <charset val="134"/>
      </rPr>
      <t>20260922--$298.31(2).pdf</t>
    </r>
  </si>
  <si>
    <r>
      <rPr>
        <sz val="9"/>
        <rFont val="Arial"/>
        <charset val="134"/>
      </rPr>
      <t>Pioneer Lady</t>
    </r>
    <r>
      <rPr>
        <sz val="9"/>
        <rFont val="宋体"/>
        <charset val="134"/>
      </rPr>
      <t>岚桥港值班及交通补贴</t>
    </r>
    <r>
      <rPr>
        <sz val="9"/>
        <rFont val="Arial"/>
        <charset val="134"/>
      </rPr>
      <t>-</t>
    </r>
    <r>
      <rPr>
        <sz val="9"/>
        <rFont val="宋体"/>
        <charset val="134"/>
      </rPr>
      <t>周琦</t>
    </r>
    <r>
      <rPr>
        <sz val="9"/>
        <rFont val="Arial"/>
        <charset val="134"/>
      </rPr>
      <t>RMB3541.02</t>
    </r>
  </si>
  <si>
    <t>Pioneer Lady蓝桥港值班津贴_20260909(1).pdf</t>
  </si>
  <si>
    <r>
      <rPr>
        <sz val="9"/>
        <rFont val="Arial"/>
        <charset val="134"/>
      </rPr>
      <t>2026</t>
    </r>
    <r>
      <rPr>
        <sz val="9"/>
        <rFont val="等线"/>
        <charset val="134"/>
      </rPr>
      <t>年</t>
    </r>
    <r>
      <rPr>
        <sz val="9"/>
        <rFont val="Arial"/>
        <charset val="134"/>
      </rPr>
      <t xml:space="preserve">8 </t>
    </r>
    <r>
      <rPr>
        <sz val="9"/>
        <rFont val="新宋体"/>
        <charset val="134"/>
      </rPr>
      <t>月份船员工资</t>
    </r>
  </si>
  <si>
    <t>Payment_Certificate_20260911154058.pdf</t>
  </si>
  <si>
    <r>
      <rPr>
        <u/>
        <sz val="9"/>
        <color rgb="FF800080"/>
        <rFont val="Arial"/>
        <charset val="134"/>
      </rPr>
      <t>PIONEER LADY 8</t>
    </r>
    <r>
      <rPr>
        <u/>
        <sz val="9"/>
        <color rgb="FF800080"/>
        <rFont val="宋体"/>
        <charset val="134"/>
      </rPr>
      <t>月船员工资</t>
    </r>
    <r>
      <rPr>
        <u/>
        <sz val="9"/>
        <color rgb="FF800080"/>
        <rFont val="Arial"/>
        <charset val="134"/>
      </rPr>
      <t>(2).pdf</t>
    </r>
  </si>
  <si>
    <r>
      <rPr>
        <sz val="9"/>
        <rFont val="宋体"/>
        <charset val="134"/>
      </rPr>
      <t>通信数据流量费</t>
    </r>
  </si>
  <si>
    <t>Invoice_PIONEER LADY_C_2026_08_21358741_Stratos.pdf</t>
  </si>
  <si>
    <r>
      <rPr>
        <sz val="9"/>
        <rFont val="Arial"/>
        <charset val="134"/>
      </rPr>
      <t xml:space="preserve">Vizada </t>
    </r>
    <r>
      <rPr>
        <sz val="9"/>
        <rFont val="宋体"/>
        <charset val="134"/>
      </rPr>
      <t>通信订阅费（</t>
    </r>
    <r>
      <rPr>
        <sz val="9"/>
        <rFont val="Arial"/>
        <charset val="134"/>
      </rPr>
      <t>8</t>
    </r>
    <r>
      <rPr>
        <sz val="9"/>
        <rFont val="宋体"/>
        <charset val="134"/>
      </rPr>
      <t>月）</t>
    </r>
  </si>
  <si>
    <t>Invoice_PIONEER LADY_C Monthly_2026_08_21363280_Stratos.pdf</t>
  </si>
  <si>
    <r>
      <rPr>
        <sz val="9"/>
        <rFont val="新宋体"/>
        <charset val="134"/>
      </rPr>
      <t>提现后的差额费用</t>
    </r>
  </si>
  <si>
    <r>
      <rPr>
        <u/>
        <sz val="9"/>
        <color rgb="FF800080"/>
        <rFont val="Arial"/>
        <charset val="134"/>
      </rPr>
      <t>20260831</t>
    </r>
    <r>
      <rPr>
        <u/>
        <sz val="9"/>
        <color rgb="FF800080"/>
        <rFont val="宋体"/>
        <charset val="134"/>
      </rPr>
      <t>周总提现</t>
    </r>
    <r>
      <rPr>
        <u/>
        <sz val="9"/>
        <color rgb="FF800080"/>
        <rFont val="Arial"/>
        <charset val="134"/>
      </rPr>
      <t>5000USD(1).pdf</t>
    </r>
  </si>
  <si>
    <r>
      <rPr>
        <u/>
        <sz val="10"/>
        <color rgb="FF800080"/>
        <rFont val="宋体"/>
        <charset val="134"/>
      </rPr>
      <t>提现后差额费用</t>
    </r>
    <r>
      <rPr>
        <u/>
        <sz val="10"/>
        <color rgb="FF800080"/>
        <rFont val="Arial"/>
        <charset val="134"/>
      </rPr>
      <t>--2026.08.31(2).pdf</t>
    </r>
  </si>
  <si>
    <r>
      <rPr>
        <sz val="9"/>
        <rFont val="新宋体"/>
        <charset val="134"/>
      </rPr>
      <t>办公室费用</t>
    </r>
  </si>
  <si>
    <r>
      <rPr>
        <u/>
        <sz val="10"/>
        <color rgb="FF800080"/>
        <rFont val="宋体"/>
        <charset val="134"/>
      </rPr>
      <t>办公费用</t>
    </r>
    <r>
      <rPr>
        <u/>
        <sz val="10"/>
        <color rgb="FF800080"/>
        <rFont val="Arial"/>
        <charset val="134"/>
      </rPr>
      <t>69527.18RMB—10292.19USD(2).pdf</t>
    </r>
  </si>
  <si>
    <r>
      <rPr>
        <sz val="9"/>
        <rFont val="Arial"/>
        <charset val="134"/>
      </rPr>
      <t>MSTS</t>
    </r>
    <r>
      <rPr>
        <sz val="9"/>
        <rFont val="宋体"/>
        <charset val="134"/>
      </rPr>
      <t>股份转移</t>
    </r>
  </si>
  <si>
    <t>Payment_Certificate_20260920113437.pdf</t>
  </si>
  <si>
    <r>
      <rPr>
        <u/>
        <sz val="9"/>
        <color rgb="FF800080"/>
        <rFont val="Arial"/>
        <charset val="134"/>
      </rPr>
      <t>Invoice--</t>
    </r>
    <r>
      <rPr>
        <u/>
        <sz val="9"/>
        <color rgb="FF800080"/>
        <rFont val="宋体"/>
        <charset val="134"/>
      </rPr>
      <t>单船开形式发票</t>
    </r>
    <r>
      <rPr>
        <u/>
        <sz val="9"/>
        <color rgb="FF800080"/>
        <rFont val="Arial"/>
        <charset val="134"/>
      </rPr>
      <t>-</t>
    </r>
    <r>
      <rPr>
        <u/>
        <sz val="9"/>
        <color rgb="FF800080"/>
        <rFont val="宋体"/>
        <charset val="134"/>
      </rPr>
      <t>段正权股份</t>
    </r>
    <r>
      <rPr>
        <u/>
        <sz val="9"/>
        <color rgb="FF800080"/>
        <rFont val="Arial"/>
        <charset val="134"/>
      </rPr>
      <t>(1).pdf</t>
    </r>
  </si>
  <si>
    <r>
      <rPr>
        <sz val="9"/>
        <rFont val="宋体"/>
        <charset val="134"/>
      </rPr>
      <t>周老轨岚桥防船代理费用</t>
    </r>
  </si>
  <si>
    <r>
      <rPr>
        <u/>
        <sz val="9"/>
        <color rgb="FF800080"/>
        <rFont val="宋体"/>
        <charset val="134"/>
      </rPr>
      <t>机务访船代理费</t>
    </r>
    <r>
      <rPr>
        <u/>
        <sz val="9"/>
        <color rgb="FF800080"/>
        <rFont val="Arial"/>
        <charset val="134"/>
      </rPr>
      <t>120</t>
    </r>
    <r>
      <rPr>
        <u/>
        <sz val="9"/>
        <color rgb="FF800080"/>
        <rFont val="宋体"/>
        <charset val="134"/>
      </rPr>
      <t>美元</t>
    </r>
    <r>
      <rPr>
        <u/>
        <sz val="9"/>
        <color rgb="FF800080"/>
        <rFont val="Arial"/>
        <charset val="134"/>
      </rPr>
      <t>.pdf</t>
    </r>
  </si>
  <si>
    <r>
      <rPr>
        <sz val="9"/>
        <rFont val="等线"/>
        <charset val="134"/>
      </rPr>
      <t>发电机</t>
    </r>
  </si>
  <si>
    <t>EPILP26009-PIONEER LADY 订单确认报告_20260923135413.pdf</t>
  </si>
  <si>
    <r>
      <rPr>
        <sz val="9"/>
        <color rgb="FF000000"/>
        <rFont val="宋体"/>
        <charset val="134"/>
      </rPr>
      <t>化学品</t>
    </r>
  </si>
  <si>
    <t>EPILT26003-PIONEER LADY 订单确认报告_20260930154202.pdf</t>
  </si>
  <si>
    <t>EPILT26003__INVOICE(1).pdf</t>
  </si>
  <si>
    <r>
      <rPr>
        <sz val="9"/>
        <color rgb="FF000000"/>
        <rFont val="宋体"/>
        <charset val="134"/>
      </rPr>
      <t>燃油分油机</t>
    </r>
  </si>
  <si>
    <t>DPILT26009-PIONEER LADY 订单确认报告_20260929101940(1).pdf</t>
  </si>
  <si>
    <t>EPILP26012__INVOICE.pdf</t>
  </si>
  <si>
    <r>
      <rPr>
        <sz val="9"/>
        <rFont val="新宋体"/>
        <charset val="134"/>
      </rPr>
      <t>岚桥采购油漆</t>
    </r>
  </si>
  <si>
    <r>
      <rPr>
        <sz val="9"/>
        <rFont val="宋体"/>
        <charset val="134"/>
      </rPr>
      <t>钧源船舶服务有限公司</t>
    </r>
  </si>
  <si>
    <r>
      <rPr>
        <u/>
        <sz val="9"/>
        <color rgb="FF800080"/>
        <rFont val="Arial"/>
        <charset val="134"/>
      </rPr>
      <t xml:space="preserve">DPILT26006-PIONEER LADY </t>
    </r>
    <r>
      <rPr>
        <u/>
        <sz val="9"/>
        <color rgb="FF800080"/>
        <rFont val="宋体"/>
        <charset val="134"/>
      </rPr>
      <t>订单确认报告</t>
    </r>
    <r>
      <rPr>
        <u/>
        <sz val="9"/>
        <color rgb="FF800080"/>
        <rFont val="Arial"/>
        <charset val="134"/>
      </rPr>
      <t>_20261001112318.pdf</t>
    </r>
  </si>
  <si>
    <t>Entrusted_Payment_Certificate_S05202609240320523257112_20260924112224.pdf</t>
  </si>
  <si>
    <r>
      <rPr>
        <u/>
        <sz val="9"/>
        <color rgb="FF800080"/>
        <rFont val="Arial"/>
        <charset val="134"/>
      </rPr>
      <t>Pioneer Lady-</t>
    </r>
    <r>
      <rPr>
        <u/>
        <sz val="9"/>
        <color rgb="FF800080"/>
        <rFont val="宋体"/>
        <charset val="134"/>
      </rPr>
      <t>销售</t>
    </r>
    <r>
      <rPr>
        <u/>
        <sz val="9"/>
        <color rgb="FF800080"/>
        <rFont val="Arial"/>
        <charset val="134"/>
      </rPr>
      <t>INV(1).pdf</t>
    </r>
  </si>
  <si>
    <r>
      <rPr>
        <sz val="9"/>
        <rFont val="新宋体"/>
        <charset val="134"/>
      </rPr>
      <t>造水机</t>
    </r>
  </si>
  <si>
    <r>
      <rPr>
        <u/>
        <sz val="9"/>
        <color rgb="FF800080"/>
        <rFont val="Arial"/>
        <charset val="134"/>
      </rPr>
      <t xml:space="preserve">EPILP26013-PIONEER LADY </t>
    </r>
    <r>
      <rPr>
        <u/>
        <sz val="9"/>
        <color rgb="FF800080"/>
        <rFont val="宋体"/>
        <charset val="134"/>
      </rPr>
      <t>订单确认报告</t>
    </r>
    <r>
      <rPr>
        <u/>
        <sz val="9"/>
        <color rgb="FF800080"/>
        <rFont val="Arial"/>
        <charset val="134"/>
      </rPr>
      <t>_20260923141439.pdf</t>
    </r>
  </si>
  <si>
    <r>
      <rPr>
        <sz val="9"/>
        <rFont val="新宋体"/>
        <charset val="134"/>
      </rPr>
      <t>主空压机</t>
    </r>
  </si>
  <si>
    <t>EPILP26011-PIONEER LADY 订单确认报告_20260923135659.pdf</t>
  </si>
  <si>
    <r>
      <rPr>
        <sz val="9"/>
        <rFont val="新宋体"/>
        <charset val="134"/>
      </rPr>
      <t>文具物料</t>
    </r>
  </si>
  <si>
    <t>DPILT26004订单确认报告_20260923115934.pdf</t>
  </si>
  <si>
    <t>DPILT26001__INVOICE.pdf</t>
  </si>
  <si>
    <r>
      <rPr>
        <sz val="9"/>
        <rFont val="新宋体"/>
        <charset val="134"/>
      </rPr>
      <t>甲板物料</t>
    </r>
    <r>
      <rPr>
        <sz val="9"/>
        <rFont val="Arial"/>
        <charset val="134"/>
      </rPr>
      <t>-2</t>
    </r>
    <r>
      <rPr>
        <sz val="9"/>
        <rFont val="新宋体"/>
        <charset val="134"/>
      </rPr>
      <t>通用物料</t>
    </r>
  </si>
  <si>
    <t>DPILT26002订单确认报告_20260923115648.pdf</t>
  </si>
  <si>
    <t>DPILT26002-2__INVOICE.pdf</t>
  </si>
  <si>
    <r>
      <rPr>
        <sz val="9"/>
        <rFont val="新宋体"/>
        <charset val="134"/>
      </rPr>
      <t>甲板物料</t>
    </r>
    <r>
      <rPr>
        <sz val="9"/>
        <rFont val="Arial"/>
        <charset val="134"/>
      </rPr>
      <t>-1</t>
    </r>
    <r>
      <rPr>
        <sz val="9"/>
        <rFont val="新宋体"/>
        <charset val="134"/>
      </rPr>
      <t>缆绳检测仪</t>
    </r>
    <r>
      <rPr>
        <sz val="9"/>
        <rFont val="Arial"/>
        <charset val="134"/>
      </rPr>
      <t>+</t>
    </r>
    <r>
      <rPr>
        <sz val="9"/>
        <rFont val="新宋体"/>
        <charset val="134"/>
      </rPr>
      <t>耳机</t>
    </r>
  </si>
  <si>
    <t>DPILT26002订单确认报告_20260923115648(1).pdf</t>
  </si>
  <si>
    <t>DPILT26002-1__INVOICE(1).pdf</t>
  </si>
  <si>
    <r>
      <rPr>
        <sz val="9"/>
        <rFont val="新宋体"/>
        <charset val="134"/>
      </rPr>
      <t>救生和消防物料</t>
    </r>
  </si>
  <si>
    <t>DPILT26003订单确认报告_20260923115825.pdf</t>
  </si>
  <si>
    <t>DPILT26003__INVOICE.pdf</t>
  </si>
  <si>
    <r>
      <rPr>
        <sz val="9"/>
        <rFont val="新宋体"/>
        <charset val="134"/>
      </rPr>
      <t>生活物料</t>
    </r>
  </si>
  <si>
    <t>DPILT26004订单确认报告_20260923115934(1).pdf</t>
  </si>
  <si>
    <t>DPILT26004__INVOICE.pdf</t>
  </si>
  <si>
    <r>
      <rPr>
        <sz val="9"/>
        <rFont val="新宋体"/>
        <charset val="134"/>
      </rPr>
      <t>药品及医疗器材</t>
    </r>
  </si>
  <si>
    <t>DPILT26005订单确认报告_20260923120026.pdf</t>
  </si>
  <si>
    <t>DPILT26005__INVOICE.pdf</t>
  </si>
  <si>
    <r>
      <rPr>
        <sz val="9"/>
        <rFont val="新宋体"/>
        <charset val="134"/>
      </rPr>
      <t>主机缸盖</t>
    </r>
  </si>
  <si>
    <t>EPILP26001-PIONEER LADY 订单确认报告_20260923132752.pdf</t>
  </si>
  <si>
    <t>EPILP26001__INVOICE.pdf</t>
  </si>
  <si>
    <r>
      <rPr>
        <sz val="9"/>
        <color rgb="FF000000"/>
        <rFont val="新宋体"/>
        <charset val="134"/>
      </rPr>
      <t>主机震动缓冲器</t>
    </r>
  </si>
  <si>
    <t>EPILP26005-PIONEER LADY  订单确认报告_20260923134923.pdf</t>
  </si>
  <si>
    <t>EPILP26005__INVOICE.pdf</t>
  </si>
  <si>
    <r>
      <rPr>
        <sz val="9"/>
        <color rgb="FF000000"/>
        <rFont val="新宋体"/>
        <charset val="134"/>
      </rPr>
      <t>生活污水处理装置</t>
    </r>
  </si>
  <si>
    <t>EPILP26020-PIONEER LADY 订单确认报告_20260923152935.pdf</t>
  </si>
  <si>
    <t>EPILP26020__INVOICE.pdf</t>
  </si>
  <si>
    <r>
      <rPr>
        <sz val="9"/>
        <color rgb="FF000000"/>
        <rFont val="新宋体"/>
        <charset val="134"/>
      </rPr>
      <t>压载泵</t>
    </r>
  </si>
  <si>
    <t>EPILP26021-PIONEER LADY 订单确认报告_20260923153850.pdf</t>
  </si>
  <si>
    <t>EPILP26021__INVOICE.pdf</t>
  </si>
  <si>
    <r>
      <rPr>
        <sz val="9"/>
        <color rgb="FF000000"/>
        <rFont val="宋体"/>
        <charset val="134"/>
      </rPr>
      <t>消防泵备件</t>
    </r>
    <r>
      <rPr>
        <sz val="9"/>
        <color rgb="FF000000"/>
        <rFont val="Arial"/>
        <charset val="134"/>
      </rPr>
      <t>(Fire &amp; G/S RVP160S SHINKO)</t>
    </r>
  </si>
  <si>
    <t>EPILP26023-PIONEER LADY 订单确认报告_20260923155339.pdf</t>
  </si>
  <si>
    <t>EPILP26023__INVOICE.pdf</t>
  </si>
  <si>
    <r>
      <rPr>
        <sz val="9"/>
        <color rgb="FF000000"/>
        <rFont val="新宋体"/>
        <charset val="134"/>
      </rPr>
      <t>发电机增压器</t>
    </r>
  </si>
  <si>
    <t>EPILP26010-PIONEER LADY 订单确认报告_20260923135509.pdf</t>
  </si>
  <si>
    <t>EPILP26010__INVOICE(1).pdf</t>
  </si>
  <si>
    <r>
      <rPr>
        <sz val="9"/>
        <color rgb="FF000000"/>
        <rFont val="新宋体"/>
        <charset val="134"/>
      </rPr>
      <t>滑油分油机</t>
    </r>
  </si>
  <si>
    <t>EPILP26008-PIONEER LADY 订单确认报告_20260923135329.pdf</t>
  </si>
  <si>
    <t>EPILP26008__INVOICE.pdf</t>
  </si>
  <si>
    <r>
      <rPr>
        <sz val="9"/>
        <color rgb="FF000000"/>
        <rFont val="新宋体"/>
        <charset val="134"/>
      </rPr>
      <t>主机供油单元</t>
    </r>
  </si>
  <si>
    <t>EPILP26007-PIONEER LADY 订单确认报告_20260930113513.pdf</t>
  </si>
  <si>
    <t>EPILP26007__INVOICE.pdf</t>
  </si>
  <si>
    <r>
      <rPr>
        <sz val="9"/>
        <color rgb="FF000000"/>
        <rFont val="新宋体"/>
        <charset val="134"/>
      </rPr>
      <t>主机排气阀</t>
    </r>
  </si>
  <si>
    <t>EPILP26006-PIONEER LADY 订单确认报告_20260923135001.pdf</t>
  </si>
  <si>
    <t>EPILP26006__INVOICE.pdf</t>
  </si>
  <si>
    <r>
      <rPr>
        <sz val="9"/>
        <rFont val="新宋体"/>
        <charset val="134"/>
      </rPr>
      <t>机舱半年</t>
    </r>
    <r>
      <rPr>
        <sz val="9"/>
        <rFont val="Arial"/>
        <charset val="134"/>
      </rPr>
      <t xml:space="preserve"> </t>
    </r>
    <r>
      <rPr>
        <sz val="9"/>
        <rFont val="新宋体"/>
        <charset val="134"/>
      </rPr>
      <t>通用物料申请单</t>
    </r>
  </si>
  <si>
    <r>
      <rPr>
        <u/>
        <sz val="9"/>
        <color rgb="FF800080"/>
        <rFont val="Arial"/>
        <charset val="134"/>
      </rPr>
      <t xml:space="preserve">EPILT26001-PIONEER LADY </t>
    </r>
    <r>
      <rPr>
        <u/>
        <sz val="9"/>
        <color rgb="FF800080"/>
        <rFont val="宋体"/>
        <charset val="134"/>
      </rPr>
      <t>订单确认报告</t>
    </r>
    <r>
      <rPr>
        <u/>
        <sz val="9"/>
        <color rgb="FF800080"/>
        <rFont val="Arial"/>
        <charset val="134"/>
      </rPr>
      <t>_20260923163929.pdf</t>
    </r>
  </si>
  <si>
    <t>EPILT26001__INVOICE.pdf</t>
  </si>
  <si>
    <r>
      <rPr>
        <sz val="9"/>
        <rFont val="新宋体"/>
        <charset val="134"/>
      </rPr>
      <t>消防泵备件</t>
    </r>
    <r>
      <rPr>
        <sz val="9"/>
        <rFont val="Arial"/>
        <charset val="134"/>
      </rPr>
      <t>(Fire &amp; G/S RVP160S SHINKO)</t>
    </r>
  </si>
  <si>
    <t>EPILP26022-PIONEER LADY 订单确认报告_20260923155023.pdf</t>
  </si>
  <si>
    <r>
      <rPr>
        <u/>
        <sz val="9"/>
        <color rgb="FF800080"/>
        <rFont val="Arial"/>
        <charset val="134"/>
      </rPr>
      <t xml:space="preserve">EPILP26022 </t>
    </r>
    <r>
      <rPr>
        <u/>
        <sz val="9"/>
        <color rgb="FF800080"/>
        <rFont val="宋体"/>
        <charset val="134"/>
      </rPr>
      <t>发票</t>
    </r>
    <r>
      <rPr>
        <u/>
        <sz val="9"/>
        <color rgb="FF800080"/>
        <rFont val="Arial"/>
        <charset val="134"/>
      </rPr>
      <t>.pdf</t>
    </r>
  </si>
  <si>
    <r>
      <rPr>
        <sz val="9"/>
        <rFont val="新宋体"/>
        <charset val="134"/>
      </rPr>
      <t>主机填料涵</t>
    </r>
  </si>
  <si>
    <t>EPILP26004-PIONEER LADY 订单确认报告_20260923134154.pdf</t>
  </si>
  <si>
    <t>EPILP26004 发票.pdf</t>
  </si>
  <si>
    <r>
      <rPr>
        <sz val="9"/>
        <rFont val="新宋体"/>
        <charset val="134"/>
      </rPr>
      <t>主机燃油阀</t>
    </r>
  </si>
  <si>
    <t>EPILP26003-PIONEER LADY 订单确认报告_20260923134003.pdf</t>
  </si>
  <si>
    <t>EPILP26003 发票.pdf</t>
  </si>
  <si>
    <r>
      <rPr>
        <sz val="9"/>
        <rFont val="新宋体"/>
        <charset val="134"/>
      </rPr>
      <t>主机缸套</t>
    </r>
  </si>
  <si>
    <t>EPILP26002-PIONEER LADY 订单确认报告_20260923133222.pdf</t>
  </si>
  <si>
    <t>EPILP26002 发票.pdf</t>
  </si>
  <si>
    <r>
      <rPr>
        <sz val="9"/>
        <rFont val="新宋体"/>
        <charset val="134"/>
      </rPr>
      <t>救生消防年检</t>
    </r>
  </si>
  <si>
    <t>消防年检确认报告_20260923172254.pdf</t>
  </si>
  <si>
    <r>
      <rPr>
        <sz val="9"/>
        <rFont val="新宋体"/>
        <charset val="134"/>
      </rPr>
      <t>董事长基金</t>
    </r>
    <r>
      <rPr>
        <sz val="9"/>
        <rFont val="Arial"/>
        <charset val="134"/>
      </rPr>
      <t>-</t>
    </r>
    <r>
      <rPr>
        <sz val="9"/>
        <rFont val="新宋体"/>
        <charset val="134"/>
      </rPr>
      <t>周总</t>
    </r>
  </si>
  <si>
    <r>
      <rPr>
        <u/>
        <sz val="9"/>
        <color theme="10"/>
        <rFont val="宋体"/>
        <charset val="134"/>
      </rPr>
      <t>董事长基金</t>
    </r>
    <r>
      <rPr>
        <u/>
        <sz val="9"/>
        <color theme="10"/>
        <rFont val="Arial"/>
        <charset val="134"/>
      </rPr>
      <t>--2026.08.31.pdf</t>
    </r>
  </si>
  <si>
    <r>
      <rPr>
        <sz val="9"/>
        <rFont val="Arial"/>
        <charset val="134"/>
      </rPr>
      <t>2026/8/14</t>
    </r>
    <r>
      <rPr>
        <sz val="9"/>
        <rFont val="宋体"/>
        <charset val="134"/>
      </rPr>
      <t>合并支付</t>
    </r>
  </si>
  <si>
    <r>
      <rPr>
        <sz val="9"/>
        <rFont val="Arial"/>
        <charset val="134"/>
      </rPr>
      <t>8</t>
    </r>
    <r>
      <rPr>
        <sz val="9"/>
        <rFont val="新宋体"/>
        <charset val="134"/>
      </rPr>
      <t>月份全船伙食费支出</t>
    </r>
  </si>
  <si>
    <r>
      <rPr>
        <u/>
        <sz val="9"/>
        <color theme="10"/>
        <rFont val="Arial"/>
        <charset val="134"/>
      </rPr>
      <t>8</t>
    </r>
    <r>
      <rPr>
        <u/>
        <sz val="9"/>
        <color theme="10"/>
        <rFont val="宋体"/>
        <charset val="134"/>
      </rPr>
      <t>月份船员伙食费用支出</t>
    </r>
    <r>
      <rPr>
        <u/>
        <sz val="9"/>
        <color theme="10"/>
        <rFont val="Arial"/>
        <charset val="134"/>
      </rPr>
      <t>(1).pdf</t>
    </r>
  </si>
  <si>
    <r>
      <rPr>
        <sz val="9"/>
        <rFont val="新宋体"/>
        <charset val="134"/>
      </rPr>
      <t>付款没付成功，银行扣款手续费</t>
    </r>
    <r>
      <rPr>
        <sz val="9"/>
        <rFont val="Arial"/>
        <charset val="134"/>
      </rPr>
      <t>USD50</t>
    </r>
  </si>
  <si>
    <t>银行扣款手续费USD50.pdf</t>
  </si>
  <si>
    <r>
      <rPr>
        <u/>
        <sz val="9"/>
        <color theme="10"/>
        <rFont val="宋体"/>
        <charset val="134"/>
      </rPr>
      <t>董事长基金</t>
    </r>
    <r>
      <rPr>
        <u/>
        <sz val="9"/>
        <color theme="10"/>
        <rFont val="Arial"/>
        <charset val="134"/>
      </rPr>
      <t>--2026.07.31.pdf</t>
    </r>
  </si>
  <si>
    <t>20260831-周总提现45000USD.pdf</t>
  </si>
  <si>
    <r>
      <rPr>
        <u/>
        <sz val="9"/>
        <color theme="10"/>
        <rFont val="宋体"/>
        <charset val="134"/>
      </rPr>
      <t>董事长基金</t>
    </r>
    <r>
      <rPr>
        <u/>
        <sz val="9"/>
        <color theme="10"/>
        <rFont val="Arial"/>
        <charset val="134"/>
      </rPr>
      <t>--2026.08.14.pdf</t>
    </r>
  </si>
  <si>
    <r>
      <rPr>
        <sz val="9"/>
        <rFont val="宋体"/>
        <charset val="134"/>
      </rPr>
      <t>菲律宾</t>
    </r>
    <r>
      <rPr>
        <sz val="9"/>
        <rFont val="Arial"/>
        <charset val="134"/>
      </rPr>
      <t xml:space="preserve"> CTM </t>
    </r>
    <r>
      <rPr>
        <sz val="9"/>
        <rFont val="新宋体"/>
        <charset val="134"/>
      </rPr>
      <t>代理代办服务费</t>
    </r>
  </si>
  <si>
    <t>PSI-2608-104</t>
  </si>
  <si>
    <r>
      <rPr>
        <u/>
        <sz val="9"/>
        <color theme="10"/>
        <rFont val="Arial"/>
        <charset val="134"/>
      </rPr>
      <t>20260827_</t>
    </r>
    <r>
      <rPr>
        <u/>
        <sz val="9"/>
        <color theme="10"/>
        <rFont val="宋体"/>
        <charset val="134"/>
      </rPr>
      <t>代理费</t>
    </r>
    <r>
      <rPr>
        <u/>
        <sz val="9"/>
        <color theme="10"/>
        <rFont val="Arial"/>
        <charset val="134"/>
      </rPr>
      <t>2000</t>
    </r>
    <r>
      <rPr>
        <u/>
        <sz val="9"/>
        <color theme="10"/>
        <rFont val="宋体"/>
        <charset val="134"/>
      </rPr>
      <t>付款凭证</t>
    </r>
    <r>
      <rPr>
        <u/>
        <sz val="9"/>
        <color theme="10"/>
        <rFont val="Arial"/>
        <charset val="134"/>
      </rPr>
      <t>.pdf</t>
    </r>
  </si>
  <si>
    <t>Payment_Certificate_20260920112405.pdf</t>
  </si>
  <si>
    <r>
      <rPr>
        <sz val="9"/>
        <color theme="1"/>
        <rFont val="新宋体"/>
        <charset val="134"/>
      </rPr>
      <t>原船管欠船员</t>
    </r>
    <r>
      <rPr>
        <sz val="9"/>
        <color theme="1"/>
        <rFont val="Arial"/>
        <charset val="134"/>
      </rPr>
      <t>7</t>
    </r>
    <r>
      <rPr>
        <sz val="9"/>
        <color theme="1"/>
        <rFont val="新宋体"/>
        <charset val="134"/>
      </rPr>
      <t>月份伙食费支出</t>
    </r>
  </si>
  <si>
    <r>
      <rPr>
        <u/>
        <sz val="9"/>
        <color rgb="FF800080"/>
        <rFont val="Arial"/>
        <charset val="134"/>
      </rPr>
      <t>7</t>
    </r>
    <r>
      <rPr>
        <u/>
        <sz val="9"/>
        <color rgb="FF800080"/>
        <rFont val="宋体"/>
        <charset val="134"/>
      </rPr>
      <t>月份原船管伙食欠款</t>
    </r>
    <r>
      <rPr>
        <u/>
        <sz val="9"/>
        <color rgb="FF800080"/>
        <rFont val="Arial"/>
        <charset val="134"/>
      </rPr>
      <t>1544</t>
    </r>
    <r>
      <rPr>
        <u/>
        <sz val="9"/>
        <color rgb="FF800080"/>
        <rFont val="宋体"/>
        <charset val="134"/>
      </rPr>
      <t>美元收据</t>
    </r>
    <r>
      <rPr>
        <u/>
        <sz val="9"/>
        <color rgb="FF800080"/>
        <rFont val="Arial"/>
        <charset val="134"/>
      </rPr>
      <t>(2).pdf</t>
    </r>
  </si>
  <si>
    <r>
      <rPr>
        <sz val="9"/>
        <rFont val="新宋体"/>
        <charset val="134"/>
      </rPr>
      <t>代理给船长</t>
    </r>
    <r>
      <rPr>
        <sz val="9"/>
        <rFont val="Arial"/>
        <charset val="134"/>
      </rPr>
      <t>5</t>
    </r>
    <r>
      <rPr>
        <sz val="9"/>
        <rFont val="新宋体"/>
        <charset val="134"/>
      </rPr>
      <t>万备用金</t>
    </r>
  </si>
  <si>
    <t>CTM 50000USD RECEIPT(2).pdf</t>
  </si>
  <si>
    <r>
      <rPr>
        <u/>
        <sz val="9"/>
        <color rgb="FF800080"/>
        <rFont val="Arial"/>
        <charset val="134"/>
      </rPr>
      <t>20260908__</t>
    </r>
    <r>
      <rPr>
        <u/>
        <sz val="9"/>
        <color rgb="FF800080"/>
        <rFont val="宋体"/>
        <charset val="134"/>
      </rPr>
      <t>备用金</t>
    </r>
    <r>
      <rPr>
        <u/>
        <sz val="9"/>
        <color rgb="FF800080"/>
        <rFont val="Arial"/>
        <charset val="134"/>
      </rPr>
      <t>_5WUSD</t>
    </r>
    <r>
      <rPr>
        <u/>
        <sz val="9"/>
        <color rgb="FF800080"/>
        <rFont val="宋体"/>
        <charset val="134"/>
      </rPr>
      <t>付款凭证银行</t>
    </r>
    <r>
      <rPr>
        <u/>
        <sz val="9"/>
        <color rgb="FF800080"/>
        <rFont val="Arial"/>
        <charset val="134"/>
      </rPr>
      <t>.pdf</t>
    </r>
  </si>
  <si>
    <r>
      <rPr>
        <sz val="9"/>
        <color theme="1"/>
        <rFont val="Arial"/>
        <charset val="134"/>
      </rPr>
      <t>CTM RMB100,000 hand carried onboard when tookover vessel≈14815</t>
    </r>
    <r>
      <rPr>
        <sz val="9"/>
        <color theme="1"/>
        <rFont val="新宋体"/>
        <charset val="134"/>
      </rPr>
      <t>美元</t>
    </r>
  </si>
  <si>
    <r>
      <rPr>
        <u/>
        <sz val="9"/>
        <color rgb="FF800080"/>
        <rFont val="宋体"/>
        <charset val="134"/>
      </rPr>
      <t>备用金收据</t>
    </r>
    <r>
      <rPr>
        <u/>
        <sz val="9"/>
        <color rgb="FF800080"/>
        <rFont val="Arial"/>
        <charset val="134"/>
      </rPr>
      <t>14815USD.pdf</t>
    </r>
  </si>
  <si>
    <t>已收</t>
  </si>
  <si>
    <t>已开票</t>
  </si>
  <si>
    <t>待收</t>
  </si>
  <si>
    <t>船东付</t>
  </si>
  <si>
    <t>巴生港锚地检验陪同费--Rightship 检验</t>
  </si>
  <si>
    <t>Payment_Certificate_20260928170911.pdf</t>
  </si>
  <si>
    <t>PINV PIONEER LADY (INSPECTION ATTEND).pdf</t>
  </si>
  <si>
    <t>DPILT26009-PIONEER LADY 订单确认报告_20260929101940.pdf</t>
  </si>
  <si>
    <t>DPILT26009__INVOICE.pdf</t>
  </si>
  <si>
    <t>Pioneer Lady 船舶申请订单确认报告(DPILT26008)(1).pdf</t>
  </si>
  <si>
    <t>DPILT26008__INVOICE.pdf</t>
  </si>
  <si>
    <t>DEBIT NOTE---SY2026080042LND(MV PIONEER LADY USHCT).pdf</t>
  </si>
  <si>
    <t>船员换班，工资，船旗证书合并支付</t>
  </si>
  <si>
    <t>8 月份船员海外换班费(1)(1).pdf</t>
  </si>
  <si>
    <t>岚桥加淡水费用1400美元.pdf</t>
  </si>
  <si>
    <t>2026年6，7，8月季度自修奖金支出</t>
  </si>
  <si>
    <t>青岛港加工缆车刹车操作杆费用-周琦支付RMB3500</t>
  </si>
  <si>
    <t>20260919_青岛港加工缆车刹车操作杆费用（RMB3500）522.51USD.pdf</t>
  </si>
  <si>
    <t>Pioneer Lady 船舶申请订单确认报告(EPILP26026冰机修理)(1)(1).pdf</t>
  </si>
  <si>
    <t>PIONEER LADY -形式发票(2).pdf</t>
  </si>
  <si>
    <t>EPILT26004订单确认报告_20260930161523.pdf</t>
  </si>
  <si>
    <t>EPILT26004__INVOICE.pdf</t>
  </si>
  <si>
    <t>EPILP26019-PIONEER LADY 订单确认报告_20260923151916.pdf</t>
  </si>
  <si>
    <t>EPILP26019__INVOICE.pdf</t>
  </si>
  <si>
    <t>EPILP26015-PIONEER LADY 订单确认报告_20260923143458.pdf</t>
  </si>
  <si>
    <t>EPILP26015 ＋运费发票.pdf</t>
  </si>
  <si>
    <t>PIONEER LADY 备件发票.pdf</t>
  </si>
  <si>
    <t>Pioneer Lady 船舶申请订单确认报告(驾驶台设备修理).pdf</t>
  </si>
  <si>
    <t>PIONEER LADY通导修理等结算(2).pdf</t>
  </si>
  <si>
    <t>EPILP26017-PIONEER LADY 订单确认报告_20260923150418.pdf</t>
  </si>
  <si>
    <t>EPILP26017__INVOICE.pdf</t>
  </si>
  <si>
    <t>EPILP26024-PIONEER LADY 订单确认报告_20260923155407.pdf</t>
  </si>
  <si>
    <t>EPILP26024__INVOICE.pdf</t>
  </si>
  <si>
    <t>EPILP26025-PIONEER LADY 订单确认报告_20260923155439.pdf</t>
  </si>
  <si>
    <t>EPILP26025__INVOICE.pdf</t>
  </si>
  <si>
    <t>Pioneer Lady 船舶申请订单确认报告(EPILP26026冰机修理)(1).pdf</t>
  </si>
  <si>
    <t>PIONEER LADY -形式发票(1).pdf</t>
  </si>
  <si>
    <t>20260903_气瓶押金8,121.24 USD_付款凭证.pdf</t>
  </si>
  <si>
    <t>Proforma Invoice - PIONEER LADY(1).pdf</t>
  </si>
  <si>
    <t>PIONEERLADY PILM26052101water ingress detection OCEAN FLEET(2).pdf</t>
  </si>
  <si>
    <t>20260814TELEOCEAN INC2230付款凭证.pdf</t>
  </si>
  <si>
    <t>Invoice_PIONEER LADY_C Monthly_2026_07_21356047_Vizada.pdf</t>
  </si>
  <si>
    <t>Invoice_PIONEER LADY_AAIC_2026_07_21351855_AAIC.pdf</t>
  </si>
  <si>
    <t>制作两枚船章(1).pdf</t>
  </si>
  <si>
    <t>Pioneer Lady 船舶申请订单确认报告(DPILT-LISCR)(1)_20260923115119.pdf</t>
  </si>
  <si>
    <t>同下合并支付</t>
  </si>
  <si>
    <t>PRO-FORMA INVOICE.pdf</t>
  </si>
  <si>
    <t>Pioneer Lady 船舶申请订单确认报告(DPILT-LISCR)(2)_20260923115309.pdf</t>
  </si>
  <si>
    <t>Payment_Certificate_20260922163203.pdf</t>
  </si>
  <si>
    <t>Annual Fee Invoice# 2431470.pdf</t>
  </si>
  <si>
    <t>PIONEER LADY 8月证书费用.pdf</t>
  </si>
  <si>
    <t>海事海关系统更改费用375美元.pdf</t>
  </si>
  <si>
    <t>20260813巴哈马国旗法定记录本__INVOICE.pdf</t>
  </si>
  <si>
    <t>MSTS_PIONEER LADY20260731_泗水服务付款凭证(1).pdf</t>
  </si>
  <si>
    <t>20260469 - Fuzhou C hangzin Electronic (PIONEER LADY)(2).pdf</t>
  </si>
  <si>
    <t>改船籍港特殊劳务费200美元(1).pdf</t>
  </si>
  <si>
    <t>LR 两名船检猫的登离船代理费用支出(1).pdf</t>
  </si>
  <si>
    <t>GMDSS年检工程师登离轮代理费支出(1).pdf</t>
  </si>
  <si>
    <t>Invoice--Pioneer Lady PILEP260827-OF(1).docx</t>
  </si>
  <si>
    <t>船名</t>
  </si>
  <si>
    <t>Changes</t>
  </si>
  <si>
    <t>Owner</t>
  </si>
  <si>
    <t>Factor</t>
  </si>
  <si>
    <t>Lowest</t>
  </si>
  <si>
    <t>Reasonable</t>
  </si>
  <si>
    <t>Highest</t>
  </si>
  <si>
    <t>WAHSIN 结账</t>
  </si>
  <si>
    <t>Catalogue</t>
  </si>
  <si>
    <t>Agreement</t>
  </si>
  <si>
    <t>Place</t>
  </si>
  <si>
    <t>O/T</t>
  </si>
  <si>
    <t>Flag Change</t>
  </si>
  <si>
    <t>Shipowner</t>
  </si>
  <si>
    <t>Take-over</t>
  </si>
  <si>
    <t>Non-Flag Change</t>
  </si>
  <si>
    <t>CNY</t>
  </si>
  <si>
    <t>DOC Change</t>
  </si>
  <si>
    <t>2401-2412</t>
  </si>
  <si>
    <t>RSO Change</t>
  </si>
  <si>
    <t>Flag</t>
  </si>
  <si>
    <t>ITF-Yes</t>
  </si>
  <si>
    <t>我USD</t>
  </si>
  <si>
    <t>ITF-No</t>
  </si>
  <si>
    <t>我CNY</t>
  </si>
  <si>
    <t>ITF-OPEX</t>
  </si>
  <si>
    <t>Rightship-Yes</t>
  </si>
  <si>
    <t>55%CNY</t>
  </si>
  <si>
    <t>Rightship-No</t>
  </si>
  <si>
    <t>Rightship-OPEX</t>
  </si>
  <si>
    <t>OPEX</t>
  </si>
  <si>
    <t>SCORPIO WQ 付款申请</t>
  </si>
  <si>
    <t>Charge-Normal</t>
  </si>
  <si>
    <t>SCORPIO WQ 电子回单</t>
  </si>
  <si>
    <t>Charge-Subcharge</t>
  </si>
  <si>
    <t>SCORPIO WQ 银行流水明细</t>
  </si>
  <si>
    <t>Port</t>
  </si>
  <si>
    <t>SCORPIO WQ 核算,考核盈亏</t>
  </si>
  <si>
    <t>Anchorage</t>
  </si>
  <si>
    <t>SCORPIO WQ 带章银行月结单</t>
  </si>
  <si>
    <t>Working</t>
  </si>
  <si>
    <t>SCORPIO WQ 电子对账单</t>
  </si>
  <si>
    <t>DOC</t>
  </si>
  <si>
    <t>Wenked</t>
  </si>
  <si>
    <t>华兴银行账户资料</t>
  </si>
  <si>
    <t>RSO</t>
  </si>
  <si>
    <t>Yes</t>
  </si>
  <si>
    <t>公司注册文件存档</t>
  </si>
  <si>
    <t>No</t>
  </si>
  <si>
    <t>审计报告</t>
  </si>
  <si>
    <t>Content</t>
  </si>
  <si>
    <t>Yes/No</t>
  </si>
  <si>
    <t>RO</t>
  </si>
  <si>
    <t xml:space="preserve">Crew </t>
  </si>
  <si>
    <t>Shipname</t>
  </si>
  <si>
    <t>Spare Parts</t>
  </si>
  <si>
    <t>Stores</t>
  </si>
  <si>
    <t>ITF</t>
  </si>
  <si>
    <t>Rightship(&gt;14Year)</t>
  </si>
  <si>
    <t>P&amp;I(&gt;15Years)</t>
  </si>
  <si>
    <t>Time</t>
  </si>
  <si>
    <t>Crew Ridding Days</t>
  </si>
  <si>
    <t>Crew Waiting Days</t>
  </si>
  <si>
    <t>Ship Management Account Code</t>
  </si>
  <si>
    <t>Crew Dept Account Code</t>
  </si>
  <si>
    <t>Ship's Account Description</t>
  </si>
  <si>
    <t>PIC</t>
  </si>
  <si>
    <r>
      <rPr>
        <b/>
        <u/>
        <sz val="10"/>
        <color rgb="FF000000"/>
        <rFont val="Arial"/>
        <charset val="134"/>
      </rPr>
      <t xml:space="preserve">CREW   </t>
    </r>
    <r>
      <rPr>
        <b/>
        <u/>
        <sz val="10"/>
        <color rgb="FF000000"/>
        <rFont val="宋体"/>
        <charset val="134"/>
      </rPr>
      <t>船员</t>
    </r>
  </si>
  <si>
    <t>Basic Wage</t>
  </si>
  <si>
    <t>基本工资</t>
  </si>
  <si>
    <t>Wages Pay Onboard</t>
  </si>
  <si>
    <t>Crewing</t>
  </si>
  <si>
    <t>Leave Pay</t>
  </si>
  <si>
    <t>休假工资</t>
  </si>
  <si>
    <t>Victualling--Budget</t>
  </si>
  <si>
    <t>Leave Pay P.Hols</t>
  </si>
  <si>
    <r>
      <rPr>
        <sz val="10"/>
        <rFont val="宋体"/>
        <charset val="134"/>
      </rPr>
      <t>法定公休假期工资（</t>
    </r>
    <r>
      <rPr>
        <sz val="10"/>
        <rFont val="Arial"/>
        <charset val="134"/>
      </rPr>
      <t>Public Holidays</t>
    </r>
    <r>
      <rPr>
        <sz val="10"/>
        <rFont val="宋体"/>
        <charset val="134"/>
      </rPr>
      <t>）</t>
    </r>
  </si>
  <si>
    <t>Victualling--Supplement Record</t>
  </si>
  <si>
    <t>Fixed Overtime</t>
  </si>
  <si>
    <t>固定加班费</t>
  </si>
  <si>
    <t>Victualling--Inventory Record</t>
  </si>
  <si>
    <t>Sub-ITF/IBF/CBA</t>
  </si>
  <si>
    <r>
      <rPr>
        <sz val="10"/>
        <rFont val="Arial"/>
        <charset val="134"/>
      </rPr>
      <t xml:space="preserve">ITF/IBF/ </t>
    </r>
    <r>
      <rPr>
        <sz val="10"/>
        <rFont val="宋体"/>
        <charset val="134"/>
      </rPr>
      <t>集体协议补贴（</t>
    </r>
    <r>
      <rPr>
        <sz val="10"/>
        <rFont val="Arial"/>
        <charset val="134"/>
      </rPr>
      <t xml:space="preserve">ITF </t>
    </r>
    <r>
      <rPr>
        <sz val="10"/>
        <rFont val="宋体"/>
        <charset val="134"/>
      </rPr>
      <t>国际运输工人联合会，</t>
    </r>
    <r>
      <rPr>
        <sz val="10"/>
        <rFont val="Arial"/>
        <charset val="134"/>
      </rPr>
      <t xml:space="preserve">CBA </t>
    </r>
    <r>
      <rPr>
        <sz val="10"/>
        <rFont val="宋体"/>
        <charset val="134"/>
      </rPr>
      <t>集体谈判协议）</t>
    </r>
  </si>
  <si>
    <t>Joining/Repatriation</t>
  </si>
  <si>
    <t>Sub-Owner</t>
  </si>
  <si>
    <t>船东补贴</t>
  </si>
  <si>
    <t>Crewing Manning Agent</t>
  </si>
  <si>
    <t>Seniority/Rejoining Bonus</t>
  </si>
  <si>
    <r>
      <rPr>
        <sz val="10"/>
        <rFont val="宋体"/>
        <charset val="134"/>
      </rPr>
      <t>工龄</t>
    </r>
    <r>
      <rPr>
        <sz val="10"/>
        <rFont val="Arial"/>
        <charset val="134"/>
      </rPr>
      <t xml:space="preserve"> / </t>
    </r>
    <r>
      <rPr>
        <sz val="10"/>
        <rFont val="宋体"/>
        <charset val="134"/>
      </rPr>
      <t>返船奖金</t>
    </r>
  </si>
  <si>
    <t>Flag, Union Fees, ITF, CBA,SEPF,SSD etc</t>
  </si>
  <si>
    <t>Overlap/Travelling Wages</t>
  </si>
  <si>
    <t>交接重叠期 / 旅途工资</t>
  </si>
  <si>
    <t xml:space="preserve">Uniform, Working Gears,Medicine,Entertainment etc </t>
  </si>
  <si>
    <t>其他费用</t>
  </si>
  <si>
    <t>Crew Welfare, Other Expenses</t>
  </si>
  <si>
    <t>Victualling Fee</t>
  </si>
  <si>
    <t>膳食伙食费（船舶伙食）</t>
  </si>
  <si>
    <t>Crew--Change Oversea:(Owner Account)</t>
  </si>
  <si>
    <t>Overlap Victualling &amp; Sundries</t>
  </si>
  <si>
    <t>船员交接重叠期伙食及杂项费</t>
  </si>
  <si>
    <t>Crew--Non Budget(Owner)</t>
  </si>
  <si>
    <t>Victualling Allowance</t>
  </si>
  <si>
    <t>伙食津贴</t>
  </si>
  <si>
    <t>Crew--Insurance Claim</t>
  </si>
  <si>
    <t>Crew Changes Fee</t>
  </si>
  <si>
    <t>船员换班费用</t>
  </si>
  <si>
    <r>
      <rPr>
        <b/>
        <u/>
        <sz val="10"/>
        <color rgb="FF000000"/>
        <rFont val="Arial"/>
        <charset val="134"/>
      </rPr>
      <t xml:space="preserve">STORES &amp; SUPPLIES  </t>
    </r>
    <r>
      <rPr>
        <b/>
        <u/>
        <sz val="10"/>
        <color rgb="FF000000"/>
        <rFont val="宋体"/>
        <charset val="134"/>
      </rPr>
      <t>物料与供应品</t>
    </r>
  </si>
  <si>
    <t>Crew Medical Examination Fee</t>
  </si>
  <si>
    <t>船员体检费</t>
  </si>
  <si>
    <t>Deck Stores-Medical</t>
  </si>
  <si>
    <t>Technical</t>
  </si>
  <si>
    <t>Joinning Port Visa Fees etc.</t>
  </si>
  <si>
    <t>上船港口签证费等</t>
  </si>
  <si>
    <t>Deck Stores-Chart and public</t>
  </si>
  <si>
    <t>Manning Agent Fee</t>
  </si>
  <si>
    <t>船员外派代理费（配员代理费）</t>
  </si>
  <si>
    <t>Deck Stores-Ropes and Wires</t>
  </si>
  <si>
    <t>Flag State/Union/ITF</t>
  </si>
  <si>
    <t>船旗国 / 工会 / 国际运输工人联合会相关费用</t>
  </si>
  <si>
    <t>Deck Stores-Seastock Paints</t>
  </si>
  <si>
    <t>Officers Safety Reserve Funds/SEPF/SSD equivalent</t>
  </si>
  <si>
    <r>
      <rPr>
        <sz val="10"/>
        <rFont val="宋体"/>
        <charset val="134"/>
      </rPr>
      <t>船旗国</t>
    </r>
    <r>
      <rPr>
        <sz val="10"/>
        <rFont val="Arial"/>
        <charset val="134"/>
      </rPr>
      <t xml:space="preserve"> / </t>
    </r>
    <r>
      <rPr>
        <sz val="10"/>
        <rFont val="宋体"/>
        <charset val="134"/>
      </rPr>
      <t>工会</t>
    </r>
    <r>
      <rPr>
        <sz val="10"/>
        <rFont val="Arial"/>
        <charset val="134"/>
      </rPr>
      <t xml:space="preserve"> / </t>
    </r>
    <r>
      <rPr>
        <sz val="10"/>
        <rFont val="宋体"/>
        <charset val="134"/>
      </rPr>
      <t>国际运输工人联合会相关费用</t>
    </r>
  </si>
  <si>
    <t>Deck Stores-Chemicals</t>
  </si>
  <si>
    <t>Uniform Allowance for Officers/Working  Gear</t>
  </si>
  <si>
    <r>
      <rPr>
        <sz val="10"/>
        <rFont val="宋体"/>
        <charset val="134"/>
      </rPr>
      <t>高级船员制服津贴</t>
    </r>
    <r>
      <rPr>
        <sz val="10"/>
        <rFont val="Arial"/>
        <charset val="134"/>
      </rPr>
      <t xml:space="preserve"> / </t>
    </r>
    <r>
      <rPr>
        <sz val="10"/>
        <rFont val="宋体"/>
        <charset val="134"/>
      </rPr>
      <t>工装费用</t>
    </r>
  </si>
  <si>
    <t>Deck Stores--FFE and LSA</t>
  </si>
  <si>
    <t>Medicine/Chinese Package,MLC,Radio Medical,Non-Recoverable P&amp;I</t>
  </si>
  <si>
    <r>
      <rPr>
        <sz val="10"/>
        <rFont val="宋体"/>
        <charset val="134"/>
      </rPr>
      <t>药品</t>
    </r>
    <r>
      <rPr>
        <sz val="10"/>
        <rFont val="Arial"/>
        <charset val="134"/>
      </rPr>
      <t xml:space="preserve"> / </t>
    </r>
    <r>
      <rPr>
        <sz val="10"/>
        <rFont val="宋体"/>
        <charset val="134"/>
      </rPr>
      <t>中药包、海事劳工公约相关、远程医疗、不可追偿保赔险费用（</t>
    </r>
    <r>
      <rPr>
        <sz val="10"/>
        <rFont val="Arial"/>
        <charset val="134"/>
      </rPr>
      <t xml:space="preserve">P&amp;I </t>
    </r>
    <r>
      <rPr>
        <sz val="10"/>
        <rFont val="宋体"/>
        <charset val="134"/>
      </rPr>
      <t>保赔协会）</t>
    </r>
  </si>
  <si>
    <t>Deck stores – others</t>
  </si>
  <si>
    <t>Entertainment/Laundry Allowance/News Link - Electronic Newspaper O/B</t>
  </si>
  <si>
    <r>
      <rPr>
        <sz val="10"/>
        <rFont val="宋体"/>
        <charset val="134"/>
      </rPr>
      <t>文娱</t>
    </r>
    <r>
      <rPr>
        <sz val="10"/>
        <rFont val="Arial"/>
        <charset val="134"/>
      </rPr>
      <t xml:space="preserve"> / </t>
    </r>
    <r>
      <rPr>
        <sz val="10"/>
        <rFont val="宋体"/>
        <charset val="134"/>
      </rPr>
      <t>洗衣津贴、新闻链接</t>
    </r>
    <r>
      <rPr>
        <sz val="10"/>
        <rFont val="Arial"/>
        <charset val="134"/>
      </rPr>
      <t xml:space="preserve"> —— </t>
    </r>
    <r>
      <rPr>
        <sz val="10"/>
        <rFont val="宋体"/>
        <charset val="134"/>
      </rPr>
      <t>船上电子报刊（</t>
    </r>
    <r>
      <rPr>
        <sz val="10"/>
        <rFont val="Arial"/>
        <charset val="134"/>
      </rPr>
      <t xml:space="preserve">O/B=On Board </t>
    </r>
    <r>
      <rPr>
        <sz val="10"/>
        <rFont val="宋体"/>
        <charset val="134"/>
      </rPr>
      <t>在船）</t>
    </r>
  </si>
  <si>
    <t>Engine Stores-Gases</t>
  </si>
  <si>
    <t>Crew Change Oversea:(Owner Account)</t>
  </si>
  <si>
    <t>海外船员换班（船东账户）</t>
  </si>
  <si>
    <t>Engine Stores-Chemicals</t>
  </si>
  <si>
    <t>Crew--Take over/Hand Over</t>
  </si>
  <si>
    <t>船员交接费</t>
  </si>
  <si>
    <t>Engine Stores-BWTS</t>
  </si>
  <si>
    <t>Crew--Non Budget</t>
  </si>
  <si>
    <t>船员类非预算费用</t>
  </si>
  <si>
    <t>Engine stores – others</t>
  </si>
  <si>
    <t>Steward Stores</t>
  </si>
  <si>
    <t>RQA No. rule</t>
  </si>
  <si>
    <t>Stores-Other</t>
  </si>
  <si>
    <t>Deck</t>
  </si>
  <si>
    <t>SWYYMMDD+xx(even, onward)</t>
  </si>
  <si>
    <t>Store-Accruals</t>
  </si>
  <si>
    <t>Technical/Accounts</t>
  </si>
  <si>
    <t xml:space="preserve">Engine </t>
  </si>
  <si>
    <t>SWYYMMDD+xx(odd,onward)</t>
  </si>
  <si>
    <t>Store-03rd Part/Charterer Expenses</t>
  </si>
  <si>
    <t>Technical /03rd Party</t>
  </si>
  <si>
    <t>wahsin Office</t>
  </si>
  <si>
    <t>SWYYMMDD+xx(99 downward)</t>
  </si>
  <si>
    <t>Store-Non Budget(Owner)</t>
  </si>
  <si>
    <t>Technical /Owner</t>
  </si>
  <si>
    <t>PO No. rule</t>
  </si>
  <si>
    <t>Store-Insurance Claim</t>
  </si>
  <si>
    <t>Technical / Insurance</t>
  </si>
  <si>
    <t>YYMMDD+xx(even)</t>
  </si>
  <si>
    <r>
      <rPr>
        <b/>
        <u/>
        <sz val="10"/>
        <color rgb="FF000000"/>
        <rFont val="Arial"/>
        <charset val="134"/>
      </rPr>
      <t xml:space="preserve">SPARES  </t>
    </r>
    <r>
      <rPr>
        <b/>
        <u/>
        <sz val="10"/>
        <color rgb="FF000000"/>
        <rFont val="宋体"/>
        <charset val="134"/>
      </rPr>
      <t>备件</t>
    </r>
  </si>
  <si>
    <t>YYMMDD+xx(odd)</t>
  </si>
  <si>
    <t>SPARE DECK-HULL &amp; TANKS</t>
  </si>
  <si>
    <t>SPARE-RADIO &amp; NAVIGATION EQUIPMENT</t>
  </si>
  <si>
    <t>SPARE-FFE &amp; LSA EQUIPMENT</t>
  </si>
  <si>
    <t>SPARE-DECK MACHINERY</t>
  </si>
  <si>
    <t>SPARE-CARGO RELATED EQUIPMENT</t>
  </si>
  <si>
    <t>SPARE-DECK OTHERS</t>
  </si>
  <si>
    <t>SPARE ENGINE-MAIN ENGINE</t>
  </si>
  <si>
    <t>SPARE ENGINE-GEN ENGINE</t>
  </si>
  <si>
    <t>SPARES-ENGINE-BOILERS</t>
  </si>
  <si>
    <t>SPARES-ENGINE-BWTS</t>
  </si>
  <si>
    <t>SPARES-ENGINE-Ele</t>
  </si>
  <si>
    <t>SPARE ENGINE-OTHER</t>
  </si>
  <si>
    <t>SPARES-TRANSPORT/DELIVERY</t>
  </si>
  <si>
    <t>SPARE-ACCRUALS</t>
  </si>
  <si>
    <t>SPARE-03rd Part/Charterer Expenses</t>
  </si>
  <si>
    <t>SPARE-Non Budget(Owner)</t>
  </si>
  <si>
    <t>SPARE-Insurance Claim</t>
  </si>
  <si>
    <r>
      <rPr>
        <b/>
        <u/>
        <sz val="10"/>
        <color rgb="FF000000"/>
        <rFont val="Arial"/>
        <charset val="134"/>
      </rPr>
      <t xml:space="preserve">REPAIR AND MAINTENANCE  </t>
    </r>
    <r>
      <rPr>
        <b/>
        <u/>
        <sz val="10"/>
        <color rgb="FF000000"/>
        <rFont val="宋体"/>
        <charset val="134"/>
      </rPr>
      <t>修理与维护（</t>
    </r>
    <r>
      <rPr>
        <b/>
        <u/>
        <sz val="10"/>
        <color rgb="FF000000"/>
        <rFont val="Arial"/>
        <charset val="134"/>
      </rPr>
      <t>R&amp;M</t>
    </r>
    <r>
      <rPr>
        <b/>
        <u/>
        <sz val="10"/>
        <color rgb="FF000000"/>
        <rFont val="宋体"/>
        <charset val="134"/>
      </rPr>
      <t>）</t>
    </r>
  </si>
  <si>
    <t>R&amp;M DECK-HULL &amp; TANKS</t>
  </si>
  <si>
    <t>R&amp;M-DECK MACHINERY</t>
  </si>
  <si>
    <t>R&amp;M-DECK, CARGO RELATED EQUIPMENT</t>
  </si>
  <si>
    <t>R&amp;M DECK-DECK OTHERS</t>
  </si>
  <si>
    <t>R&amp;M ENGINE-MAIN ENGINE</t>
  </si>
  <si>
    <t>R&amp;M ENGINE-GEN ENGINE</t>
  </si>
  <si>
    <t>R&amp;M-ENGINE-BOILERS</t>
  </si>
  <si>
    <t>R&amp;M-ENGINE-Ele</t>
  </si>
  <si>
    <t>R&amp;M ENGINE-OTHER</t>
  </si>
  <si>
    <t>R&amp;M NAV-RADIO &amp; NAVIGATION EQUIPMENT</t>
  </si>
  <si>
    <t>R&amp;M NAV-FFE &amp; LSA EQUIPMENT</t>
  </si>
  <si>
    <t>R&amp;M ISM &amp; ESG RELATED</t>
  </si>
  <si>
    <t>ISM</t>
  </si>
  <si>
    <t>R&amp;M CONTRACT/SERVICE-MAINTENANCE CONTRACT/SERVICE</t>
  </si>
  <si>
    <t>R&amp;M CONTRACT-CLASS SURVEY</t>
  </si>
  <si>
    <t>R&amp;M RIGHTSHIP/COMMERECIAL INSPECTION</t>
  </si>
  <si>
    <t>R&amp;M-ACCRUALS</t>
  </si>
  <si>
    <t>R&amp;M-03rd Part/Charterer Expenses</t>
  </si>
  <si>
    <t>R&amp;M-Non Budget(Owner)</t>
  </si>
  <si>
    <t>R&amp;M-Insurance Claim</t>
  </si>
  <si>
    <r>
      <rPr>
        <b/>
        <u/>
        <sz val="10"/>
        <color rgb="FF000000"/>
        <rFont val="Arial"/>
        <charset val="134"/>
      </rPr>
      <t xml:space="preserve">LUBRICATING OIL  </t>
    </r>
    <r>
      <rPr>
        <b/>
        <u/>
        <sz val="10"/>
        <color rgb="FF000000"/>
        <rFont val="宋体"/>
        <charset val="134"/>
      </rPr>
      <t>润滑油</t>
    </r>
  </si>
  <si>
    <t>Low TBN Cylinder Oil</t>
  </si>
  <si>
    <t>High TBN Cylinder Oil</t>
  </si>
  <si>
    <t>M/E Lubrication system Oil</t>
  </si>
  <si>
    <t>Auxiliary Engine Lubricating System Oil</t>
  </si>
  <si>
    <t>Hydraulic Oil</t>
  </si>
  <si>
    <t>Lubrication Oil–Others</t>
  </si>
  <si>
    <t>Grease--Others</t>
  </si>
  <si>
    <t>Barging</t>
  </si>
  <si>
    <t>Owners Adjustment</t>
  </si>
  <si>
    <t>LO-Accruals</t>
  </si>
  <si>
    <r>
      <rPr>
        <b/>
        <u/>
        <sz val="10"/>
        <color rgb="FF000000"/>
        <rFont val="Arial"/>
        <charset val="134"/>
      </rPr>
      <t xml:space="preserve">GENERAL SERVICES  </t>
    </r>
    <r>
      <rPr>
        <b/>
        <u/>
        <sz val="10"/>
        <color rgb="FF000000"/>
        <rFont val="宋体"/>
        <charset val="134"/>
      </rPr>
      <t>综合服务</t>
    </r>
  </si>
  <si>
    <t>Husbandry Expenses-Port Expenses</t>
  </si>
  <si>
    <t>Master onboard Enterainment （C/V/E Cost)</t>
  </si>
  <si>
    <t>Port Locally Certificates</t>
  </si>
  <si>
    <t>Quality Control, Measurements, Tests (FO,LO,FW, Etc)</t>
  </si>
  <si>
    <t>Safety Audit, TRAINING</t>
  </si>
  <si>
    <t>Technical/ISM/Account</t>
  </si>
  <si>
    <t>Travel by Manager - owners’ supervisory travel expenses &amp; IT Licences fee</t>
  </si>
  <si>
    <t>Technical/Account</t>
  </si>
  <si>
    <t>CTM Cost</t>
  </si>
  <si>
    <t>Master</t>
  </si>
  <si>
    <t>CTM ROB Report</t>
  </si>
  <si>
    <t>Bank Exchange Loss/Gain</t>
  </si>
  <si>
    <t>Bank Charges</t>
  </si>
  <si>
    <t>Tonnage dues</t>
  </si>
  <si>
    <t>Technical/ISM</t>
  </si>
  <si>
    <t>National Authority Fees</t>
  </si>
  <si>
    <t>Oil Pollution Act of 1990 (OPA–90) Services /Fee</t>
  </si>
  <si>
    <t>Printing/Stationery/Office Library</t>
  </si>
  <si>
    <t>Telax/Telephone/FAX</t>
  </si>
  <si>
    <t>DHL/Postage/Others</t>
  </si>
  <si>
    <t>Other Expenses</t>
  </si>
  <si>
    <t>Communication Expenses</t>
  </si>
  <si>
    <t>General Service-ACCRUALS</t>
  </si>
  <si>
    <t>All</t>
  </si>
  <si>
    <t>General Services--Non Budget</t>
  </si>
  <si>
    <t>Techncial / Insurance</t>
  </si>
  <si>
    <t xml:space="preserve">Bound Store Supplement </t>
  </si>
  <si>
    <t>非预算</t>
  </si>
  <si>
    <t>Bound Store Inventory Record</t>
  </si>
  <si>
    <t>Bound Store Cost Record</t>
  </si>
  <si>
    <r>
      <rPr>
        <b/>
        <u/>
        <sz val="10"/>
        <color rgb="FF000000"/>
        <rFont val="Arial"/>
        <charset val="134"/>
      </rPr>
      <t xml:space="preserve">INSURANCE </t>
    </r>
    <r>
      <rPr>
        <b/>
        <u/>
        <sz val="10"/>
        <color rgb="FF000000"/>
        <rFont val="宋体"/>
        <charset val="134"/>
      </rPr>
      <t>保险</t>
    </r>
  </si>
  <si>
    <t>Hull &amp; Machinery</t>
  </si>
  <si>
    <t>Insurance</t>
  </si>
  <si>
    <t>Hull Interest/Increased Value</t>
  </si>
  <si>
    <t>FDD</t>
  </si>
  <si>
    <t>Protection &amp; Indemnity – P &amp; I</t>
  </si>
  <si>
    <t>Freight Interest</t>
  </si>
  <si>
    <t>Delay</t>
  </si>
  <si>
    <t>Loss Of Hire</t>
  </si>
  <si>
    <t>War risk</t>
  </si>
  <si>
    <t>Crew medical cost</t>
  </si>
  <si>
    <t>INSURANCE-OTHER INSURANCE PREMIUM(Cash Onboard ETC)</t>
  </si>
  <si>
    <t>INSURANCE-Innocent Owners Insurance / Additional Owners interest</t>
  </si>
  <si>
    <t>INSURANCE-MORTGAGES INTEREST</t>
  </si>
  <si>
    <t>INSURANCE-P&amp;I CAPITAL DISTRIBUTION</t>
  </si>
  <si>
    <t>INSURANCE-ACCRUALS</t>
  </si>
  <si>
    <t>Insurance/Acount</t>
  </si>
  <si>
    <t>Premium-03rd Part/Charterer Expenses</t>
  </si>
  <si>
    <t>Premium-Non Budget(Owner)</t>
  </si>
  <si>
    <t>Premium-Insurance Claim</t>
  </si>
  <si>
    <r>
      <rPr>
        <b/>
        <u/>
        <sz val="10"/>
        <color rgb="FF000000"/>
        <rFont val="Arial"/>
        <charset val="134"/>
      </rPr>
      <t xml:space="preserve">Management Fee </t>
    </r>
    <r>
      <rPr>
        <b/>
        <u/>
        <sz val="10"/>
        <color rgb="FF000000"/>
        <rFont val="宋体"/>
        <charset val="134"/>
      </rPr>
      <t>管理费</t>
    </r>
  </si>
  <si>
    <t>Technical Management Fee</t>
  </si>
  <si>
    <t>Technical /Account</t>
  </si>
  <si>
    <t>ISM Management Fee</t>
  </si>
  <si>
    <t>ISM/Account</t>
  </si>
  <si>
    <t>Operation Management Fee</t>
  </si>
  <si>
    <t>Operation /Account</t>
  </si>
  <si>
    <t>Crew Management Fee</t>
  </si>
  <si>
    <t>Commercial Management Fee</t>
  </si>
  <si>
    <r>
      <rPr>
        <b/>
        <sz val="9"/>
        <color rgb="FF000000"/>
        <rFont val="Arial"/>
        <charset val="134"/>
      </rPr>
      <t xml:space="preserve">Non-Budget, Owner/Charterer Expenses </t>
    </r>
    <r>
      <rPr>
        <b/>
        <sz val="9"/>
        <color rgb="FF000000"/>
        <rFont val="宋体"/>
        <charset val="134"/>
      </rPr>
      <t>非预算</t>
    </r>
    <r>
      <rPr>
        <b/>
        <sz val="9"/>
        <color rgb="FF000000"/>
        <rFont val="MS Gothic"/>
        <charset val="128"/>
      </rPr>
      <t>・</t>
    </r>
    <r>
      <rPr>
        <b/>
        <sz val="9"/>
        <color rgb="FF000000"/>
        <rFont val="宋体"/>
        <charset val="134"/>
      </rPr>
      <t>船东</t>
    </r>
    <r>
      <rPr>
        <b/>
        <sz val="9"/>
        <color rgb="FF000000"/>
        <rFont val="Arial"/>
        <charset val="134"/>
      </rPr>
      <t xml:space="preserve"> / </t>
    </r>
    <r>
      <rPr>
        <b/>
        <sz val="9"/>
        <color rgb="FF000000"/>
        <rFont val="宋体"/>
        <charset val="134"/>
      </rPr>
      <t>租家费用</t>
    </r>
  </si>
  <si>
    <t>Hold cleaning bonus</t>
  </si>
  <si>
    <t>Technical / Owner</t>
  </si>
  <si>
    <t>C/V/E</t>
  </si>
  <si>
    <t>FW Supplement</t>
  </si>
  <si>
    <t>Cargo hold upgradation paint/Chemical/Stores/Cleaning Tools</t>
  </si>
  <si>
    <t>Payment O.B.O Shipowner</t>
  </si>
  <si>
    <t>9900000</t>
  </si>
  <si>
    <r>
      <rPr>
        <b/>
        <u/>
        <sz val="10"/>
        <color rgb="FF000000"/>
        <rFont val="Arial"/>
        <charset val="134"/>
      </rPr>
      <t xml:space="preserve">DRYDOCK/SURVEYS </t>
    </r>
    <r>
      <rPr>
        <b/>
        <u/>
        <sz val="10"/>
        <color rgb="FF000000"/>
        <rFont val="宋体"/>
        <charset val="134"/>
      </rPr>
      <t>进坞</t>
    </r>
    <r>
      <rPr>
        <b/>
        <u/>
        <sz val="10"/>
        <color rgb="FF000000"/>
        <rFont val="Arial"/>
        <charset val="134"/>
      </rPr>
      <t xml:space="preserve"> / </t>
    </r>
    <r>
      <rPr>
        <b/>
        <u/>
        <sz val="10"/>
        <color rgb="FF000000"/>
        <rFont val="宋体"/>
        <charset val="134"/>
      </rPr>
      <t>检验</t>
    </r>
  </si>
  <si>
    <t>9900001</t>
  </si>
  <si>
    <t>Docking Expenses and Shipyard Final Bill</t>
  </si>
  <si>
    <t>9900002</t>
  </si>
  <si>
    <t>Docking Owner's Work</t>
  </si>
  <si>
    <t>9900003</t>
  </si>
  <si>
    <t>Docking Spares</t>
  </si>
  <si>
    <t>9900004</t>
  </si>
  <si>
    <t>Docking Stores</t>
  </si>
  <si>
    <t>9900005</t>
  </si>
  <si>
    <t>Docking Paint</t>
  </si>
  <si>
    <t>9900006</t>
  </si>
  <si>
    <t>Docking Slop Disposal</t>
  </si>
  <si>
    <t>9900007</t>
  </si>
  <si>
    <t>Docking Others</t>
  </si>
  <si>
    <t>9900008</t>
  </si>
  <si>
    <t>Docking Supt Cost</t>
  </si>
  <si>
    <t>9900009</t>
  </si>
  <si>
    <t>Docking Agency Disbursements</t>
  </si>
  <si>
    <t>9900010</t>
  </si>
  <si>
    <t>Docking Class/Survey Fee</t>
  </si>
  <si>
    <t>9900011</t>
  </si>
  <si>
    <t>Docking-NON BUDGET(Incl. Deviation, FO, Offhire cost etc)</t>
  </si>
  <si>
    <t>9900012</t>
  </si>
  <si>
    <t>Docking-NON BUDGET(C/Hs Upgradation Paint)</t>
  </si>
  <si>
    <t>9900013</t>
  </si>
  <si>
    <t>Docking-NON BUDGET(C/H Upgradation Yard Cost)</t>
  </si>
  <si>
    <t>9900014</t>
  </si>
  <si>
    <t>Docking-NON BUDGET(New Rules Compliance)</t>
  </si>
  <si>
    <t>9900090</t>
  </si>
  <si>
    <t>Docking-NON BUDGET(Others)</t>
  </si>
  <si>
    <t>9900091</t>
  </si>
  <si>
    <t>Docking-CLAIM (OWNED VESSEL)</t>
  </si>
  <si>
    <t>9900092</t>
  </si>
  <si>
    <t>Docking-CLAIM (THIRD PARTY VESSEL)</t>
  </si>
  <si>
    <t>9990000</t>
  </si>
  <si>
    <r>
      <rPr>
        <b/>
        <u/>
        <sz val="10"/>
        <rFont val="Arial"/>
        <charset val="134"/>
      </rPr>
      <t xml:space="preserve">PRE-DELIVERY EXPENSES </t>
    </r>
    <r>
      <rPr>
        <b/>
        <u/>
        <sz val="10"/>
        <rFont val="宋体"/>
        <charset val="134"/>
      </rPr>
      <t>交船前费用</t>
    </r>
  </si>
  <si>
    <t>9990001</t>
  </si>
  <si>
    <t>NON BGT-INITIAL TAKEOVER/PREDELIEVERY</t>
  </si>
  <si>
    <t>ALL</t>
  </si>
  <si>
    <t>9999000</t>
  </si>
  <si>
    <r>
      <rPr>
        <b/>
        <u/>
        <sz val="10"/>
        <rFont val="Arial"/>
        <charset val="134"/>
      </rPr>
      <t xml:space="preserve">H. REBATE / DISCOUNT </t>
    </r>
    <r>
      <rPr>
        <b/>
        <u/>
        <sz val="10"/>
        <rFont val="宋体"/>
        <charset val="134"/>
      </rPr>
      <t>回扣</t>
    </r>
    <r>
      <rPr>
        <b/>
        <u/>
        <sz val="10"/>
        <rFont val="Arial"/>
        <charset val="134"/>
      </rPr>
      <t xml:space="preserve"> / </t>
    </r>
    <r>
      <rPr>
        <b/>
        <u/>
        <sz val="10"/>
        <rFont val="宋体"/>
        <charset val="134"/>
      </rPr>
      <t>折扣</t>
    </r>
  </si>
  <si>
    <t>9999001</t>
  </si>
  <si>
    <t>REBATE / DISCOUNT</t>
  </si>
  <si>
    <t>MV Pioneer Lady 轮备用金流水账</t>
  </si>
  <si>
    <t>Month</t>
  </si>
  <si>
    <t>MV Pioneer Lady 轮本月伙食费收支一览表</t>
  </si>
  <si>
    <t>MV Pioneer Lady 轮本月Bound Store 费用</t>
  </si>
  <si>
    <t>摘要</t>
  </si>
  <si>
    <t>现金变动</t>
  </si>
  <si>
    <t>招待品库存</t>
  </si>
  <si>
    <t>伙食库存</t>
  </si>
  <si>
    <t>混合余额</t>
  </si>
  <si>
    <t>余额变动</t>
  </si>
  <si>
    <t>项目</t>
  </si>
  <si>
    <t>金额（RMB）</t>
  </si>
  <si>
    <t>合美元(USD)</t>
  </si>
  <si>
    <t>月初余额</t>
  </si>
  <si>
    <t>本期收入</t>
  </si>
  <si>
    <t>伙食费</t>
  </si>
  <si>
    <t>购买招待品</t>
  </si>
  <si>
    <t>做费用</t>
  </si>
  <si>
    <t>客饭费</t>
  </si>
  <si>
    <t>船员购买</t>
  </si>
  <si>
    <t>招待用伙食</t>
  </si>
  <si>
    <t>收入合计</t>
  </si>
  <si>
    <t>船员购伙</t>
  </si>
  <si>
    <t>本期支出</t>
  </si>
  <si>
    <t>招待-船员</t>
  </si>
  <si>
    <t>招待-客人</t>
  </si>
  <si>
    <t>购入伙食</t>
  </si>
  <si>
    <t>收入</t>
  </si>
  <si>
    <t>上期库存</t>
  </si>
  <si>
    <t>本期库存</t>
  </si>
  <si>
    <t>支出合计</t>
  </si>
  <si>
    <t>结账</t>
  </si>
  <si>
    <t>月底余额</t>
  </si>
  <si>
    <t>本月应发放伙食费</t>
  </si>
  <si>
    <t>本月Bound Store平衡</t>
  </si>
  <si>
    <t>收入14815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</si>
</sst>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2">
    <numFmt numFmtId="7" formatCode="&quot;￥&quot;#,##0.00;&quot;￥&quot;\-#,##0.00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  <numFmt numFmtId="177" formatCode="#,##0.00_);[Red]\(#,##0.00\)"/>
    <numFmt numFmtId="178" formatCode="\$#,##0.00;\-\$#,##0.00"/>
    <numFmt numFmtId="179" formatCode="&quot;US$&quot;#,##0.00_);\(&quot;US$&quot;#,##0.00\)"/>
    <numFmt numFmtId="180" formatCode="&quot;US$&quot;#,##0.00_);[Red]\(&quot;US$&quot;#,##0.00\)"/>
    <numFmt numFmtId="181" formatCode="&quot;US$&quot;#,##0.00;\-&quot;US$&quot;#,##0.00"/>
    <numFmt numFmtId="182" formatCode="0.00_ "/>
    <numFmt numFmtId="183" formatCode="[$JPY]\ #,##0.00;[$JPY]\ \-#,##0.00"/>
    <numFmt numFmtId="184" formatCode="[$KRW]\ #,##0.00;[$KRW]\ \-#,##0.00"/>
    <numFmt numFmtId="185" formatCode="0.00_);[Red]\(0.00\)"/>
    <numFmt numFmtId="186" formatCode="yyyy/m/d;@"/>
    <numFmt numFmtId="187" formatCode="[$-409]d\-mmm\-yy;@"/>
    <numFmt numFmtId="188" formatCode="&quot;￥&quot;#,##0.00_);[Red]\(&quot;￥&quot;#,##0.00\)"/>
    <numFmt numFmtId="189" formatCode="\$#,##0.00;[Red]\-\$#,##0.00"/>
    <numFmt numFmtId="190" formatCode="[$-409]dd\-mmm\-yy;@"/>
    <numFmt numFmtId="191" formatCode="0_);[Red]\(0\)"/>
    <numFmt numFmtId="192" formatCode="&quot;US$&quot;#,##0;\-&quot;US$&quot;#,##0"/>
    <numFmt numFmtId="193" formatCode="&quot;US$&quot;#,##0_);[Red]\(&quot;US$&quot;#,##0\)"/>
    <numFmt numFmtId="194" formatCode="dd\-mmm\-yyyy"/>
    <numFmt numFmtId="195" formatCode="#,##0_ "/>
    <numFmt numFmtId="196" formatCode="#,##0.00_ "/>
    <numFmt numFmtId="197" formatCode="#,##0_);[Red]\(#,##0\)"/>
    <numFmt numFmtId="198" formatCode="#,##0.00_);\(#,##0.00\)"/>
    <numFmt numFmtId="199" formatCode="0.00_);\(0.00\)"/>
  </numFmts>
  <fonts count="135">
    <font>
      <sz val="10"/>
      <name val="Arial"/>
      <charset val="134"/>
    </font>
    <font>
      <b/>
      <sz val="10"/>
      <name val="Arial"/>
      <charset val="134"/>
    </font>
    <font>
      <b/>
      <sz val="11"/>
      <color rgb="FF000000"/>
      <name val="等线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rgb="FF000000"/>
      <name val="等线"/>
      <charset val="134"/>
    </font>
    <font>
      <b/>
      <u/>
      <sz val="10"/>
      <name val="Arial"/>
      <charset val="134"/>
    </font>
    <font>
      <b/>
      <u/>
      <sz val="11"/>
      <color indexed="8"/>
      <name val="Arial"/>
      <charset val="134"/>
    </font>
    <font>
      <b/>
      <sz val="9"/>
      <name val="Arial"/>
      <charset val="134"/>
    </font>
    <font>
      <b/>
      <u/>
      <sz val="10"/>
      <color rgb="FF000000"/>
      <name val="Arial"/>
      <charset val="134"/>
    </font>
    <font>
      <sz val="9"/>
      <name val="Arial"/>
      <charset val="134"/>
    </font>
    <font>
      <b/>
      <u/>
      <sz val="9"/>
      <name val="Arial"/>
      <charset val="134"/>
    </font>
    <font>
      <sz val="9"/>
      <color indexed="8"/>
      <name val="Arial"/>
      <charset val="134"/>
    </font>
    <font>
      <sz val="10"/>
      <color rgb="FFFF0000"/>
      <name val="Arial"/>
      <charset val="134"/>
    </font>
    <font>
      <sz val="9"/>
      <color rgb="FFFF0000"/>
      <name val="Arial"/>
      <charset val="134"/>
    </font>
    <font>
      <b/>
      <sz val="9"/>
      <color rgb="FF000000"/>
      <name val="Arial"/>
      <charset val="134"/>
    </font>
    <font>
      <sz val="10"/>
      <name val="等线"/>
      <charset val="134"/>
    </font>
    <font>
      <b/>
      <sz val="10"/>
      <name val="等线"/>
      <charset val="134"/>
    </font>
    <font>
      <b/>
      <sz val="10"/>
      <color theme="0" tint="-0.0499893185216834"/>
      <name val="等线"/>
      <charset val="134"/>
    </font>
    <font>
      <sz val="10"/>
      <color theme="1"/>
      <name val="等线"/>
      <charset val="134"/>
    </font>
    <font>
      <sz val="10"/>
      <color rgb="FF000000"/>
      <name val="等线"/>
      <charset val="134"/>
    </font>
    <font>
      <b/>
      <sz val="10"/>
      <color rgb="FFFF0000"/>
      <name val="等线"/>
      <charset val="134"/>
    </font>
    <font>
      <sz val="10"/>
      <color rgb="FFFF0000"/>
      <name val="等线"/>
      <charset val="134"/>
    </font>
    <font>
      <sz val="10"/>
      <name val="华文新魏"/>
      <charset val="134"/>
    </font>
    <font>
      <sz val="11"/>
      <color theme="1"/>
      <name val="宋体"/>
      <charset val="134"/>
      <scheme val="minor"/>
    </font>
    <font>
      <u/>
      <sz val="10"/>
      <color theme="10"/>
      <name val="Arial"/>
      <charset val="134"/>
    </font>
    <font>
      <u/>
      <sz val="10"/>
      <color theme="10"/>
      <name val="等线"/>
      <charset val="134"/>
    </font>
    <font>
      <sz val="10"/>
      <color indexed="8"/>
      <name val="等线"/>
      <charset val="134"/>
    </font>
    <font>
      <u/>
      <sz val="10"/>
      <name val="Arial"/>
      <charset val="134"/>
    </font>
    <font>
      <u/>
      <sz val="10"/>
      <name val="华文细黑"/>
      <charset val="134"/>
    </font>
    <font>
      <sz val="10"/>
      <name val="华文细黑"/>
      <charset val="134"/>
    </font>
    <font>
      <u/>
      <sz val="10"/>
      <color theme="10"/>
      <name val="华文细黑"/>
      <charset val="134"/>
    </font>
    <font>
      <u/>
      <sz val="10"/>
      <color rgb="FF800080"/>
      <name val="华文细黑"/>
      <charset val="134"/>
    </font>
    <font>
      <b/>
      <sz val="10"/>
      <name val="华文细黑"/>
      <charset val="134"/>
    </font>
    <font>
      <sz val="10"/>
      <color theme="1"/>
      <name val="华文细黑"/>
      <charset val="134"/>
    </font>
    <font>
      <sz val="10"/>
      <color indexed="8"/>
      <name val="华文细黑"/>
      <charset val="134"/>
    </font>
    <font>
      <sz val="9"/>
      <name val="等线"/>
      <charset val="134"/>
    </font>
    <font>
      <sz val="10"/>
      <color theme="0" tint="-0.0499893185216834"/>
      <name val="等线"/>
      <charset val="134"/>
    </font>
    <font>
      <u/>
      <sz val="10"/>
      <color rgb="FF800080"/>
      <name val="等线"/>
      <charset val="134"/>
    </font>
    <font>
      <u/>
      <sz val="10"/>
      <name val="等线"/>
      <charset val="134"/>
    </font>
    <font>
      <sz val="10"/>
      <color rgb="FF9C0006"/>
      <name val="等线"/>
      <charset val="134"/>
    </font>
    <font>
      <sz val="10"/>
      <color theme="7" tint="-0.499984740745262"/>
      <name val="等线"/>
      <charset val="134"/>
    </font>
    <font>
      <sz val="10"/>
      <name val="隶书"/>
      <charset val="134"/>
    </font>
    <font>
      <sz val="9"/>
      <color theme="1"/>
      <name val="Arial"/>
      <charset val="134"/>
    </font>
    <font>
      <u/>
      <sz val="9"/>
      <color rgb="FF800080"/>
      <name val="Arial"/>
      <charset val="134"/>
    </font>
    <font>
      <u/>
      <sz val="9"/>
      <name val="Arial"/>
      <charset val="134"/>
    </font>
    <font>
      <sz val="9"/>
      <name val="宋体"/>
      <charset val="134"/>
    </font>
    <font>
      <u/>
      <sz val="9"/>
      <color theme="10"/>
      <name val="Arial"/>
      <charset val="134"/>
    </font>
    <font>
      <sz val="9"/>
      <color theme="0" tint="-0.0499893185216834"/>
      <name val="Arial"/>
      <charset val="134"/>
    </font>
    <font>
      <sz val="9"/>
      <color rgb="FF9C0006"/>
      <name val="Arial"/>
      <charset val="134"/>
    </font>
    <font>
      <u/>
      <sz val="10"/>
      <color rgb="FF800080"/>
      <name val="宋体"/>
      <charset val="134"/>
    </font>
    <font>
      <sz val="9"/>
      <color rgb="FF000000"/>
      <name val="Arial"/>
      <charset val="134"/>
    </font>
    <font>
      <b/>
      <sz val="9"/>
      <color theme="0" tint="-0.0499893185216834"/>
      <name val="Arial"/>
      <charset val="134"/>
    </font>
    <font>
      <sz val="10"/>
      <name val="Calibri"/>
      <charset val="134"/>
    </font>
    <font>
      <b/>
      <sz val="10"/>
      <name val="Calibri"/>
      <charset val="134"/>
    </font>
    <font>
      <b/>
      <sz val="9"/>
      <name val="宋体"/>
      <charset val="134"/>
    </font>
    <font>
      <b/>
      <sz val="10"/>
      <color theme="0" tint="-0.0499893185216834"/>
      <name val="Calibri"/>
      <charset val="134"/>
    </font>
    <font>
      <sz val="9"/>
      <name val="华文新魏"/>
      <charset val="134"/>
    </font>
    <font>
      <sz val="10"/>
      <color theme="0" tint="-0.0499893185216834"/>
      <name val="Calibri"/>
      <charset val="134"/>
    </font>
    <font>
      <u/>
      <sz val="10"/>
      <color theme="10"/>
      <name val="Calibri"/>
      <charset val="134"/>
    </font>
    <font>
      <sz val="10"/>
      <color rgb="FFFF0000"/>
      <name val="Calibri"/>
      <charset val="134"/>
    </font>
    <font>
      <u/>
      <sz val="10"/>
      <color rgb="FF800080"/>
      <name val="Arial"/>
      <charset val="134"/>
    </font>
    <font>
      <sz val="9"/>
      <color theme="1"/>
      <name val="华文新魏"/>
      <charset val="134"/>
    </font>
    <font>
      <sz val="11"/>
      <color theme="1"/>
      <name val="宋体"/>
      <charset val="134"/>
    </font>
    <font>
      <sz val="11"/>
      <name val="Calibri"/>
      <charset val="134"/>
    </font>
    <font>
      <sz val="10"/>
      <color rgb="FF002060"/>
      <name val="Calibri"/>
      <charset val="134"/>
    </font>
    <font>
      <sz val="10"/>
      <color theme="1"/>
      <name val="Calibri"/>
      <charset val="134"/>
    </font>
    <font>
      <b/>
      <sz val="10"/>
      <color theme="0"/>
      <name val="等线"/>
      <charset val="134"/>
    </font>
    <font>
      <sz val="9"/>
      <color theme="1"/>
      <name val="等线"/>
      <charset val="134"/>
    </font>
    <font>
      <u/>
      <sz val="9"/>
      <color rgb="FF800080"/>
      <name val="等线"/>
      <charset val="134"/>
    </font>
    <font>
      <u/>
      <sz val="9"/>
      <name val="等线"/>
      <charset val="134"/>
    </font>
    <font>
      <sz val="9"/>
      <color theme="0" tint="-0.0499893185216834"/>
      <name val="等线"/>
      <charset val="134"/>
    </font>
    <font>
      <b/>
      <sz val="9"/>
      <name val="等线"/>
      <charset val="134"/>
    </font>
    <font>
      <sz val="9"/>
      <color rgb="FF000000"/>
      <name val="等线"/>
      <charset val="134"/>
    </font>
    <font>
      <sz val="9"/>
      <color rgb="FFFF0000"/>
      <name val="等线"/>
      <charset val="134"/>
    </font>
    <font>
      <u/>
      <sz val="9"/>
      <color theme="10"/>
      <name val="等线"/>
      <charset val="134"/>
    </font>
    <font>
      <sz val="9"/>
      <color indexed="8"/>
      <name val="等线"/>
      <charset val="134"/>
    </font>
    <font>
      <sz val="10"/>
      <name val="微软雅黑"/>
      <charset val="134"/>
    </font>
    <font>
      <i/>
      <u/>
      <sz val="10"/>
      <color rgb="FFFF0000"/>
      <name val="微软雅黑"/>
      <charset val="134"/>
    </font>
    <font>
      <sz val="9"/>
      <name val="微软雅黑"/>
      <charset val="134"/>
    </font>
    <font>
      <u/>
      <sz val="10"/>
      <color rgb="FF800080"/>
      <name val="微软雅黑"/>
      <charset val="134"/>
    </font>
    <font>
      <sz val="9"/>
      <color theme="1"/>
      <name val="微软雅黑"/>
      <charset val="134"/>
    </font>
    <font>
      <u/>
      <sz val="10"/>
      <color theme="10"/>
      <name val="微软雅黑"/>
      <charset val="134"/>
    </font>
    <font>
      <b/>
      <sz val="12"/>
      <name val="等线"/>
      <charset val="134"/>
    </font>
    <font>
      <b/>
      <sz val="12"/>
      <name val="Arial"/>
      <charset val="134"/>
    </font>
    <font>
      <sz val="10"/>
      <name val="宋体"/>
      <charset val="134"/>
      <scheme val="major"/>
    </font>
    <font>
      <b/>
      <sz val="10.5"/>
      <color theme="1"/>
      <name val="宋体"/>
      <charset val="134"/>
    </font>
    <font>
      <sz val="12"/>
      <color theme="1"/>
      <name val="Arial"/>
      <charset val="134"/>
    </font>
    <font>
      <b/>
      <sz val="10"/>
      <name val="微软雅黑"/>
      <charset val="134"/>
    </font>
    <font>
      <b/>
      <sz val="11"/>
      <name val="Arial"/>
      <charset val="134"/>
    </font>
    <font>
      <b/>
      <u/>
      <sz val="10"/>
      <name val="微软雅黑"/>
      <charset val="134"/>
    </font>
    <font>
      <sz val="11"/>
      <name val="Arial"/>
      <charset val="134"/>
    </font>
    <font>
      <b/>
      <sz val="11"/>
      <name val="宋体"/>
      <charset val="134"/>
    </font>
    <font>
      <b/>
      <sz val="10"/>
      <color rgb="FFFF0000"/>
      <name val="Arial"/>
      <charset val="134"/>
    </font>
    <font>
      <sz val="10"/>
      <color rgb="FF006100"/>
      <name val="Arial"/>
      <charset val="134"/>
    </font>
    <font>
      <b/>
      <u val="double"/>
      <sz val="10"/>
      <name val="Arial"/>
      <charset val="134"/>
    </font>
    <font>
      <b/>
      <sz val="12"/>
      <name val="Calibri"/>
      <charset val="134"/>
    </font>
    <font>
      <b/>
      <u/>
      <sz val="10"/>
      <name val="Calibri"/>
      <charset val="134"/>
    </font>
    <font>
      <b/>
      <u/>
      <sz val="10"/>
      <color rgb="FFFF0000"/>
      <name val="Arial"/>
      <charset val="134"/>
    </font>
    <font>
      <b/>
      <u/>
      <sz val="12"/>
      <name val="Calibri"/>
      <charset val="134"/>
    </font>
    <font>
      <b/>
      <sz val="11"/>
      <name val="Calibri"/>
      <charset val="134"/>
    </font>
    <font>
      <b/>
      <u/>
      <sz val="11"/>
      <name val="Calibri"/>
      <charset val="134"/>
    </font>
    <font>
      <u val="singleAccounting"/>
      <sz val="10"/>
      <name val="Calibri"/>
      <charset val="134"/>
    </font>
    <font>
      <u/>
      <sz val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Helv"/>
      <charset val="134"/>
    </font>
    <font>
      <sz val="12"/>
      <color indexed="8"/>
      <name val="新細明體"/>
      <charset val="134"/>
    </font>
    <font>
      <u/>
      <sz val="9"/>
      <color rgb="FF800080"/>
      <name val="宋体"/>
      <charset val="134"/>
    </font>
    <font>
      <sz val="9"/>
      <color theme="1"/>
      <name val="新宋体"/>
      <charset val="134"/>
    </font>
    <font>
      <b/>
      <u/>
      <sz val="10"/>
      <color rgb="FF000000"/>
      <name val="宋体"/>
      <charset val="134"/>
    </font>
    <font>
      <u/>
      <sz val="9"/>
      <color theme="10"/>
      <name val="宋体"/>
      <charset val="134"/>
    </font>
    <font>
      <sz val="9"/>
      <color rgb="FF000000"/>
      <name val="新宋体"/>
      <charset val="134"/>
    </font>
    <font>
      <b/>
      <sz val="9"/>
      <color rgb="FF000000"/>
      <name val="宋体"/>
      <charset val="134"/>
    </font>
    <font>
      <b/>
      <sz val="9"/>
      <color rgb="FF000000"/>
      <name val="MS Gothic"/>
      <charset val="128"/>
    </font>
    <font>
      <sz val="9"/>
      <color rgb="FF000000"/>
      <name val="宋体"/>
      <charset val="134"/>
    </font>
    <font>
      <sz val="9"/>
      <name val="新宋体"/>
      <charset val="134"/>
    </font>
    <font>
      <sz val="9"/>
      <color theme="1"/>
      <name val="宋体"/>
      <charset val="134"/>
    </font>
    <font>
      <b/>
      <u/>
      <sz val="10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43235572374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43235572374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73754081850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799676503799554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theme="6" tint="0.799432355723746"/>
        <bgColor indexed="64"/>
      </patternFill>
    </fill>
    <fill>
      <patternFill patternType="solid">
        <fgColor theme="8" tint="0.7994323557237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43235572374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4323557237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/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/>
    <xf numFmtId="0" fontId="104" fillId="0" borderId="0" applyNumberFormat="0" applyFill="0" applyBorder="0" applyAlignment="0" applyProtection="0">
      <alignment vertical="center"/>
    </xf>
    <xf numFmtId="0" fontId="24" fillId="36" borderId="95" applyNumberFormat="0" applyFont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96" applyNumberFormat="0" applyFill="0" applyAlignment="0" applyProtection="0">
      <alignment vertical="center"/>
    </xf>
    <xf numFmtId="0" fontId="109" fillId="0" borderId="96" applyNumberFormat="0" applyFill="0" applyAlignment="0" applyProtection="0">
      <alignment vertical="center"/>
    </xf>
    <xf numFmtId="0" fontId="110" fillId="0" borderId="97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37" borderId="98" applyNumberFormat="0" applyAlignment="0" applyProtection="0">
      <alignment vertical="center"/>
    </xf>
    <xf numFmtId="0" fontId="112" fillId="38" borderId="99" applyNumberFormat="0" applyAlignment="0" applyProtection="0">
      <alignment vertical="center"/>
    </xf>
    <xf numFmtId="0" fontId="113" fillId="38" borderId="98" applyNumberFormat="0" applyAlignment="0" applyProtection="0">
      <alignment vertical="center"/>
    </xf>
    <xf numFmtId="0" fontId="114" fillId="39" borderId="100" applyNumberFormat="0" applyAlignment="0" applyProtection="0">
      <alignment vertical="center"/>
    </xf>
    <xf numFmtId="0" fontId="115" fillId="0" borderId="101" applyNumberFormat="0" applyFill="0" applyAlignment="0" applyProtection="0">
      <alignment vertical="center"/>
    </xf>
    <xf numFmtId="0" fontId="116" fillId="0" borderId="102" applyNumberFormat="0" applyFill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1" fillId="43" borderId="0" applyNumberFormat="0" applyBorder="0" applyAlignment="0" applyProtection="0">
      <alignment vertical="center"/>
    </xf>
    <xf numFmtId="0" fontId="121" fillId="44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21" fillId="47" borderId="0" applyNumberFormat="0" applyBorder="0" applyAlignment="0" applyProtection="0">
      <alignment vertical="center"/>
    </xf>
    <xf numFmtId="0" fontId="121" fillId="33" borderId="0" applyNumberFormat="0" applyBorder="0" applyAlignment="0" applyProtection="0">
      <alignment vertical="center"/>
    </xf>
    <xf numFmtId="0" fontId="120" fillId="48" borderId="0" applyNumberFormat="0" applyBorder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21" fillId="6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21" fillId="5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0" fillId="54" borderId="0" applyNumberFormat="0" applyBorder="0" applyAlignment="0" applyProtection="0">
      <alignment vertical="center"/>
    </xf>
    <xf numFmtId="0" fontId="121" fillId="55" borderId="0" applyNumberFormat="0" applyBorder="0" applyAlignment="0" applyProtection="0">
      <alignment vertical="center"/>
    </xf>
    <xf numFmtId="0" fontId="121" fillId="9" borderId="0" applyNumberFormat="0" applyBorder="0" applyAlignment="0" applyProtection="0">
      <alignment vertical="center"/>
    </xf>
    <xf numFmtId="0" fontId="120" fillId="56" borderId="0" applyNumberFormat="0" applyBorder="0" applyAlignment="0" applyProtection="0">
      <alignment vertical="center"/>
    </xf>
    <xf numFmtId="0" fontId="120" fillId="57" borderId="0" applyNumberFormat="0" applyBorder="0" applyAlignment="0" applyProtection="0">
      <alignment vertical="center"/>
    </xf>
    <xf numFmtId="0" fontId="121" fillId="58" borderId="0" applyNumberFormat="0" applyBorder="0" applyAlignment="0" applyProtection="0">
      <alignment vertical="center"/>
    </xf>
    <xf numFmtId="0" fontId="121" fillId="29" borderId="0" applyNumberFormat="0" applyBorder="0" applyAlignment="0" applyProtection="0">
      <alignment vertical="center"/>
    </xf>
    <xf numFmtId="0" fontId="120" fillId="59" borderId="0" applyNumberFormat="0" applyBorder="0" applyAlignment="0" applyProtection="0">
      <alignment vertical="center"/>
    </xf>
    <xf numFmtId="176" fontId="0" fillId="0" borderId="0"/>
    <xf numFmtId="37" fontId="122" fillId="0" borderId="0"/>
    <xf numFmtId="0" fontId="123" fillId="0" borderId="0">
      <alignment vertical="center"/>
    </xf>
  </cellStyleXfs>
  <cellXfs count="179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right"/>
    </xf>
    <xf numFmtId="17" fontId="1" fillId="0" borderId="3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17" fontId="2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3" xfId="0" applyBorder="1"/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4" fillId="0" borderId="16" xfId="0" applyFont="1" applyBorder="1"/>
    <xf numFmtId="177" fontId="0" fillId="0" borderId="16" xfId="0" applyNumberFormat="1" applyBorder="1"/>
    <xf numFmtId="26" fontId="0" fillId="0" borderId="16" xfId="0" applyNumberFormat="1" applyBorder="1"/>
    <xf numFmtId="26" fontId="0" fillId="0" borderId="17" xfId="0" applyNumberFormat="1" applyBorder="1"/>
    <xf numFmtId="26" fontId="0" fillId="0" borderId="15" xfId="0" applyNumberFormat="1" applyBorder="1"/>
    <xf numFmtId="0" fontId="0" fillId="0" borderId="18" xfId="0" applyBorder="1"/>
    <xf numFmtId="0" fontId="5" fillId="0" borderId="1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26" fontId="5" fillId="0" borderId="21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4" fillId="0" borderId="23" xfId="0" applyFont="1" applyBorder="1"/>
    <xf numFmtId="177" fontId="0" fillId="0" borderId="23" xfId="0" applyNumberFormat="1" applyBorder="1"/>
    <xf numFmtId="0" fontId="0" fillId="0" borderId="23" xfId="0" applyBorder="1"/>
    <xf numFmtId="26" fontId="0" fillId="0" borderId="22" xfId="0" applyNumberFormat="1" applyBorder="1"/>
    <xf numFmtId="0" fontId="4" fillId="0" borderId="24" xfId="0" applyFont="1" applyBorder="1"/>
    <xf numFmtId="0" fontId="5" fillId="0" borderId="25" xfId="0" applyFont="1" applyBorder="1" applyAlignment="1">
      <alignment horizontal="center" vertical="center" wrapText="1"/>
    </xf>
    <xf numFmtId="0" fontId="0" fillId="0" borderId="26" xfId="0" applyBorder="1"/>
    <xf numFmtId="0" fontId="5" fillId="0" borderId="27" xfId="0" applyFont="1" applyBorder="1" applyAlignment="1">
      <alignment horizontal="center" vertical="center" wrapText="1"/>
    </xf>
    <xf numFmtId="26" fontId="5" fillId="0" borderId="28" xfId="0" applyNumberFormat="1" applyFont="1" applyBorder="1" applyAlignment="1">
      <alignment horizontal="center" vertical="center" wrapText="1"/>
    </xf>
    <xf numFmtId="178" fontId="5" fillId="0" borderId="28" xfId="0" applyNumberFormat="1" applyFont="1" applyBorder="1" applyAlignment="1">
      <alignment horizontal="center" vertical="center" wrapText="1"/>
    </xf>
    <xf numFmtId="179" fontId="0" fillId="0" borderId="23" xfId="0" applyNumberFormat="1" applyBorder="1"/>
    <xf numFmtId="0" fontId="5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0" fillId="0" borderId="30" xfId="0" applyBorder="1"/>
    <xf numFmtId="0" fontId="2" fillId="0" borderId="31" xfId="0" applyFont="1" applyBorder="1" applyAlignment="1">
      <alignment horizontal="center" vertical="center" wrapText="1"/>
    </xf>
    <xf numFmtId="179" fontId="2" fillId="0" borderId="32" xfId="0" applyNumberFormat="1" applyFont="1" applyBorder="1" applyAlignment="1">
      <alignment horizontal="center" vertical="center" wrapText="1"/>
    </xf>
    <xf numFmtId="26" fontId="0" fillId="0" borderId="23" xfId="0" applyNumberFormat="1" applyBorder="1"/>
    <xf numFmtId="26" fontId="0" fillId="0" borderId="33" xfId="0" applyNumberFormat="1" applyBorder="1"/>
    <xf numFmtId="0" fontId="5" fillId="0" borderId="34" xfId="0" applyFont="1" applyBorder="1" applyAlignment="1">
      <alignment horizontal="center" vertical="center" wrapText="1"/>
    </xf>
    <xf numFmtId="26" fontId="5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3" fillId="0" borderId="8" xfId="0" applyFont="1" applyBorder="1"/>
    <xf numFmtId="179" fontId="1" fillId="0" borderId="8" xfId="0" applyNumberFormat="1" applyFont="1" applyBorder="1"/>
    <xf numFmtId="179" fontId="1" fillId="0" borderId="9" xfId="0" applyNumberFormat="1" applyFont="1" applyBorder="1"/>
    <xf numFmtId="180" fontId="1" fillId="0" borderId="7" xfId="0" applyNumberFormat="1" applyFont="1" applyBorder="1"/>
    <xf numFmtId="0" fontId="1" fillId="0" borderId="10" xfId="0" applyFont="1" applyBorder="1"/>
    <xf numFmtId="179" fontId="2" fillId="0" borderId="12" xfId="0" applyNumberFormat="1" applyFont="1" applyBorder="1" applyAlignment="1">
      <alignment horizontal="center" vertical="center" wrapText="1"/>
    </xf>
    <xf numFmtId="179" fontId="2" fillId="0" borderId="14" xfId="0" applyNumberFormat="1" applyFont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/>
    </xf>
    <xf numFmtId="0" fontId="0" fillId="0" borderId="3" xfId="0" applyBorder="1"/>
    <xf numFmtId="0" fontId="1" fillId="0" borderId="37" xfId="0" applyFont="1" applyBorder="1" applyAlignment="1" applyProtection="1">
      <alignment horizontal="center" vertical="top"/>
      <protection locked="0"/>
    </xf>
    <xf numFmtId="0" fontId="0" fillId="0" borderId="3" xfId="0" applyBorder="1" applyProtection="1">
      <protection locked="0"/>
    </xf>
    <xf numFmtId="0" fontId="6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6" fillId="0" borderId="41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0" fillId="0" borderId="42" xfId="0" applyBorder="1" applyAlignment="1">
      <alignment horizontal="center" vertical="center"/>
    </xf>
    <xf numFmtId="0" fontId="10" fillId="0" borderId="43" xfId="0" applyFont="1" applyBorder="1" applyAlignment="1">
      <alignment horizontal="center"/>
    </xf>
    <xf numFmtId="0" fontId="10" fillId="0" borderId="44" xfId="0" applyFont="1" applyBorder="1"/>
    <xf numFmtId="0" fontId="4" fillId="0" borderId="0" xfId="0" applyFont="1"/>
    <xf numFmtId="0" fontId="10" fillId="0" borderId="41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4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/>
    </xf>
    <xf numFmtId="0" fontId="10" fillId="0" borderId="24" xfId="0" applyFont="1" applyBorder="1"/>
    <xf numFmtId="0" fontId="10" fillId="0" borderId="0" xfId="0" applyFont="1" applyAlignment="1" applyProtection="1">
      <alignment horizontal="left" vertical="top"/>
      <protection locked="0"/>
    </xf>
    <xf numFmtId="0" fontId="10" fillId="2" borderId="41" xfId="0" applyFont="1" applyFill="1" applyBorder="1" applyAlignment="1">
      <alignment horizontal="center" vertical="center"/>
    </xf>
    <xf numFmtId="0" fontId="10" fillId="2" borderId="0" xfId="0" applyFont="1" applyFill="1" applyAlignment="1" applyProtection="1">
      <alignment horizontal="left" vertical="top"/>
      <protection locked="0"/>
    </xf>
    <xf numFmtId="0" fontId="10" fillId="2" borderId="42" xfId="0" applyFont="1" applyFill="1" applyBorder="1" applyAlignment="1">
      <alignment horizontal="center" vertical="center"/>
    </xf>
    <xf numFmtId="3" fontId="10" fillId="0" borderId="0" xfId="0" applyNumberFormat="1" applyFont="1"/>
    <xf numFmtId="0" fontId="10" fillId="0" borderId="45" xfId="0" applyFont="1" applyBorder="1" applyAlignment="1">
      <alignment horizontal="center"/>
    </xf>
    <xf numFmtId="0" fontId="10" fillId="0" borderId="46" xfId="0" applyFont="1" applyBorder="1"/>
    <xf numFmtId="3" fontId="10" fillId="0" borderId="44" xfId="0" applyNumberFormat="1" applyFont="1" applyBorder="1"/>
    <xf numFmtId="3" fontId="10" fillId="0" borderId="0" xfId="0" applyNumberFormat="1" applyFont="1" applyAlignment="1">
      <alignment horizontal="left"/>
    </xf>
    <xf numFmtId="3" fontId="10" fillId="0" borderId="24" xfId="0" applyNumberFormat="1" applyFont="1" applyBorder="1"/>
    <xf numFmtId="3" fontId="10" fillId="0" borderId="46" xfId="0" applyNumberFormat="1" applyFont="1" applyBorder="1"/>
    <xf numFmtId="0" fontId="11" fillId="0" borderId="42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left"/>
    </xf>
    <xf numFmtId="0" fontId="10" fillId="0" borderId="42" xfId="0" applyFont="1" applyBorder="1" applyAlignment="1" applyProtection="1">
      <alignment horizontal="center" vertical="center"/>
      <protection locked="0"/>
    </xf>
    <xf numFmtId="3" fontId="10" fillId="0" borderId="46" xfId="0" applyNumberFormat="1" applyFont="1" applyBorder="1" applyAlignment="1">
      <alignment horizontal="left"/>
    </xf>
    <xf numFmtId="3" fontId="10" fillId="0" borderId="44" xfId="0" applyNumberFormat="1" applyFont="1" applyBorder="1" applyAlignment="1">
      <alignment horizontal="left"/>
    </xf>
    <xf numFmtId="3" fontId="10" fillId="0" borderId="24" xfId="0" applyNumberFormat="1" applyFont="1" applyBorder="1" applyAlignment="1">
      <alignment horizontal="left"/>
    </xf>
    <xf numFmtId="0" fontId="10" fillId="0" borderId="47" xfId="0" applyFont="1" applyBorder="1" applyAlignment="1">
      <alignment horizontal="center"/>
    </xf>
    <xf numFmtId="3" fontId="10" fillId="0" borderId="48" xfId="0" applyNumberFormat="1" applyFont="1" applyBorder="1" applyAlignment="1">
      <alignment horizontal="left"/>
    </xf>
    <xf numFmtId="0" fontId="0" fillId="2" borderId="38" xfId="0" applyFill="1" applyBorder="1"/>
    <xf numFmtId="0" fontId="0" fillId="2" borderId="40" xfId="0" applyFill="1" applyBorder="1"/>
    <xf numFmtId="0" fontId="0" fillId="2" borderId="41" xfId="0" applyFill="1" applyBorder="1"/>
    <xf numFmtId="3" fontId="10" fillId="2" borderId="42" xfId="0" applyNumberFormat="1" applyFont="1" applyFill="1" applyBorder="1" applyAlignment="1">
      <alignment horizontal="left"/>
    </xf>
    <xf numFmtId="0" fontId="10" fillId="0" borderId="0" xfId="0" applyFont="1" applyAlignment="1" applyProtection="1">
      <alignment vertical="top"/>
      <protection locked="0"/>
    </xf>
    <xf numFmtId="0" fontId="13" fillId="2" borderId="49" xfId="0" applyFont="1" applyFill="1" applyBorder="1"/>
    <xf numFmtId="3" fontId="14" fillId="2" borderId="50" xfId="0" applyNumberFormat="1" applyFont="1" applyFill="1" applyBorder="1" applyAlignment="1">
      <alignment horizontal="left"/>
    </xf>
    <xf numFmtId="0" fontId="0" fillId="2" borderId="42" xfId="0" applyFill="1" applyBorder="1"/>
    <xf numFmtId="0" fontId="0" fillId="2" borderId="49" xfId="0" applyFill="1" applyBorder="1"/>
    <xf numFmtId="3" fontId="10" fillId="2" borderId="50" xfId="0" applyNumberFormat="1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42" xfId="0" applyFont="1" applyFill="1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0" fillId="2" borderId="42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15" fillId="0" borderId="0" xfId="0" applyFont="1" applyAlignment="1">
      <alignment horizontal="left"/>
    </xf>
    <xf numFmtId="49" fontId="11" fillId="0" borderId="41" xfId="0" applyNumberFormat="1" applyFont="1" applyBorder="1" applyAlignment="1">
      <alignment horizontal="center" vertical="center"/>
    </xf>
    <xf numFmtId="49" fontId="10" fillId="0" borderId="41" xfId="0" applyNumberFormat="1" applyFont="1" applyBorder="1" applyAlignment="1">
      <alignment horizontal="center" vertical="center"/>
    </xf>
    <xf numFmtId="0" fontId="6" fillId="0" borderId="0" xfId="0" applyFont="1" applyAlignment="1" applyProtection="1">
      <alignment horizontal="left" vertical="top"/>
      <protection locked="0"/>
    </xf>
    <xf numFmtId="49" fontId="10" fillId="0" borderId="49" xfId="0" applyNumberFormat="1" applyFont="1" applyBorder="1" applyAlignment="1">
      <alignment horizontal="center" vertical="center"/>
    </xf>
    <xf numFmtId="0" fontId="0" fillId="0" borderId="51" xfId="0" applyBorder="1" applyAlignment="1" applyProtection="1">
      <alignment horizontal="left" vertical="top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3" borderId="38" xfId="0" applyFont="1" applyFill="1" applyBorder="1" applyAlignment="1">
      <alignment horizontal="center"/>
    </xf>
    <xf numFmtId="0" fontId="17" fillId="3" borderId="39" xfId="0" applyFont="1" applyFill="1" applyBorder="1" applyAlignment="1">
      <alignment horizontal="center"/>
    </xf>
    <xf numFmtId="180" fontId="18" fillId="3" borderId="39" xfId="0" applyNumberFormat="1" applyFont="1" applyFill="1" applyBorder="1" applyAlignment="1">
      <alignment horizontal="center"/>
    </xf>
    <xf numFmtId="0" fontId="18" fillId="3" borderId="39" xfId="0" applyFont="1" applyFill="1" applyBorder="1" applyAlignment="1">
      <alignment horizontal="center"/>
    </xf>
    <xf numFmtId="181" fontId="17" fillId="3" borderId="39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/>
    </xf>
    <xf numFmtId="0" fontId="17" fillId="5" borderId="43" xfId="0" applyFont="1" applyFill="1" applyBorder="1" applyAlignment="1">
      <alignment horizontal="center"/>
    </xf>
    <xf numFmtId="0" fontId="0" fillId="0" borderId="52" xfId="0" applyBorder="1"/>
    <xf numFmtId="0" fontId="16" fillId="0" borderId="53" xfId="0" applyFont="1" applyBorder="1" applyAlignment="1">
      <alignment horizontal="center"/>
    </xf>
    <xf numFmtId="0" fontId="16" fillId="0" borderId="54" xfId="0" applyFont="1" applyBorder="1" applyAlignment="1">
      <alignment horizontal="left"/>
    </xf>
    <xf numFmtId="0" fontId="17" fillId="0" borderId="54" xfId="0" applyFont="1" applyBorder="1" applyAlignment="1">
      <alignment horizontal="center"/>
    </xf>
    <xf numFmtId="26" fontId="16" fillId="0" borderId="54" xfId="0" applyNumberFormat="1" applyFont="1" applyBorder="1" applyAlignment="1">
      <alignment horizontal="center"/>
    </xf>
    <xf numFmtId="182" fontId="16" fillId="0" borderId="54" xfId="0" applyNumberFormat="1" applyFont="1" applyBorder="1" applyAlignment="1">
      <alignment horizontal="center"/>
    </xf>
    <xf numFmtId="178" fontId="16" fillId="0" borderId="54" xfId="0" applyNumberFormat="1" applyFont="1" applyBorder="1" applyAlignment="1">
      <alignment horizontal="center"/>
    </xf>
    <xf numFmtId="178" fontId="17" fillId="4" borderId="0" xfId="0" applyNumberFormat="1" applyFont="1" applyFill="1" applyAlignment="1">
      <alignment horizontal="center" vertical="center"/>
    </xf>
    <xf numFmtId="178" fontId="17" fillId="4" borderId="0" xfId="0" applyNumberFormat="1" applyFont="1" applyFill="1" applyAlignment="1">
      <alignment horizontal="center"/>
    </xf>
    <xf numFmtId="0" fontId="16" fillId="5" borderId="22" xfId="0" applyFont="1" applyFill="1" applyBorder="1" applyAlignment="1">
      <alignment horizontal="center"/>
    </xf>
    <xf numFmtId="178" fontId="16" fillId="5" borderId="24" xfId="0" applyNumberFormat="1" applyFont="1" applyFill="1" applyBorder="1"/>
    <xf numFmtId="0" fontId="16" fillId="0" borderId="43" xfId="0" applyFont="1" applyBorder="1" applyAlignment="1">
      <alignment horizontal="center"/>
    </xf>
    <xf numFmtId="0" fontId="19" fillId="0" borderId="55" xfId="0" applyFont="1" applyBorder="1" applyAlignment="1">
      <alignment vertical="center"/>
    </xf>
    <xf numFmtId="0" fontId="17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left"/>
    </xf>
    <xf numFmtId="26" fontId="16" fillId="0" borderId="55" xfId="0" applyNumberFormat="1" applyFont="1" applyBorder="1" applyAlignment="1">
      <alignment horizontal="center"/>
    </xf>
    <xf numFmtId="182" fontId="16" fillId="0" borderId="55" xfId="0" applyNumberFormat="1" applyFont="1" applyBorder="1" applyAlignment="1">
      <alignment horizontal="center"/>
    </xf>
    <xf numFmtId="178" fontId="16" fillId="0" borderId="44" xfId="0" applyNumberFormat="1" applyFont="1" applyBorder="1" applyAlignment="1">
      <alignment horizontal="center"/>
    </xf>
    <xf numFmtId="10" fontId="16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horizontal="center"/>
    </xf>
    <xf numFmtId="0" fontId="16" fillId="5" borderId="47" xfId="0" applyFont="1" applyFill="1" applyBorder="1" applyAlignment="1">
      <alignment horizontal="center"/>
    </xf>
    <xf numFmtId="7" fontId="16" fillId="5" borderId="48" xfId="0" applyNumberFormat="1" applyFont="1" applyFill="1" applyBorder="1"/>
    <xf numFmtId="0" fontId="16" fillId="0" borderId="22" xfId="0" applyFont="1" applyBorder="1" applyAlignment="1">
      <alignment horizontal="center"/>
    </xf>
    <xf numFmtId="0" fontId="19" fillId="0" borderId="23" xfId="0" applyFont="1" applyBorder="1" applyAlignment="1">
      <alignment vertical="center"/>
    </xf>
    <xf numFmtId="0" fontId="17" fillId="0" borderId="23" xfId="0" applyFont="1" applyBorder="1" applyAlignment="1">
      <alignment horizontal="center"/>
    </xf>
    <xf numFmtId="0" fontId="16" fillId="0" borderId="23" xfId="0" applyFont="1" applyBorder="1" applyAlignment="1">
      <alignment horizontal="left"/>
    </xf>
    <xf numFmtId="26" fontId="16" fillId="0" borderId="23" xfId="0" applyNumberFormat="1" applyFont="1" applyBorder="1" applyAlignment="1">
      <alignment horizontal="center"/>
    </xf>
    <xf numFmtId="182" fontId="16" fillId="0" borderId="23" xfId="0" applyNumberFormat="1" applyFont="1" applyBorder="1" applyAlignment="1">
      <alignment horizontal="center"/>
    </xf>
    <xf numFmtId="178" fontId="16" fillId="0" borderId="24" xfId="0" applyNumberFormat="1" applyFont="1" applyBorder="1" applyAlignment="1">
      <alignment horizontal="center"/>
    </xf>
    <xf numFmtId="0" fontId="16" fillId="6" borderId="15" xfId="0" applyFont="1" applyFill="1" applyBorder="1" applyAlignment="1">
      <alignment horizontal="center"/>
    </xf>
    <xf numFmtId="178" fontId="16" fillId="6" borderId="18" xfId="0" applyNumberFormat="1" applyFont="1" applyFill="1" applyBorder="1"/>
    <xf numFmtId="9" fontId="16" fillId="6" borderId="22" xfId="0" applyNumberFormat="1" applyFont="1" applyFill="1" applyBorder="1" applyAlignment="1">
      <alignment horizontal="center"/>
    </xf>
    <xf numFmtId="178" fontId="16" fillId="6" borderId="24" xfId="0" applyNumberFormat="1" applyFont="1" applyFill="1" applyBorder="1"/>
    <xf numFmtId="0" fontId="16" fillId="6" borderId="22" xfId="0" applyFont="1" applyFill="1" applyBorder="1" applyAlignment="1">
      <alignment horizontal="center"/>
    </xf>
    <xf numFmtId="0" fontId="16" fillId="6" borderId="45" xfId="0" applyFont="1" applyFill="1" applyBorder="1" applyAlignment="1">
      <alignment horizontal="center"/>
    </xf>
    <xf numFmtId="7" fontId="16" fillId="6" borderId="46" xfId="0" applyNumberFormat="1" applyFont="1" applyFill="1" applyBorder="1"/>
    <xf numFmtId="9" fontId="16" fillId="7" borderId="43" xfId="0" applyNumberFormat="1" applyFont="1" applyFill="1" applyBorder="1" applyAlignment="1">
      <alignment horizontal="center"/>
    </xf>
    <xf numFmtId="178" fontId="16" fillId="7" borderId="44" xfId="0" applyNumberFormat="1" applyFont="1" applyFill="1" applyBorder="1"/>
    <xf numFmtId="0" fontId="16" fillId="7" borderId="47" xfId="0" applyFont="1" applyFill="1" applyBorder="1" applyAlignment="1">
      <alignment horizontal="center"/>
    </xf>
    <xf numFmtId="178" fontId="16" fillId="7" borderId="48" xfId="0" applyNumberFormat="1" applyFont="1" applyFill="1" applyBorder="1"/>
    <xf numFmtId="178" fontId="16" fillId="0" borderId="23" xfId="0" applyNumberFormat="1" applyFont="1" applyBorder="1" applyAlignment="1">
      <alignment horizontal="center"/>
    </xf>
    <xf numFmtId="0" fontId="16" fillId="0" borderId="23" xfId="0" applyFont="1" applyBorder="1" applyAlignment="1">
      <alignment vertical="center"/>
    </xf>
    <xf numFmtId="0" fontId="16" fillId="0" borderId="47" xfId="0" applyFont="1" applyBorder="1" applyAlignment="1">
      <alignment horizontal="center"/>
    </xf>
    <xf numFmtId="0" fontId="19" fillId="0" borderId="56" xfId="0" applyFont="1" applyBorder="1" applyAlignment="1">
      <alignment vertical="center"/>
    </xf>
    <xf numFmtId="0" fontId="17" fillId="0" borderId="56" xfId="0" applyFont="1" applyBorder="1" applyAlignment="1">
      <alignment horizontal="center"/>
    </xf>
    <xf numFmtId="0" fontId="16" fillId="0" borderId="56" xfId="0" applyFont="1" applyBorder="1" applyAlignment="1">
      <alignment horizontal="left"/>
    </xf>
    <xf numFmtId="26" fontId="16" fillId="0" borderId="56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16" fillId="0" borderId="16" xfId="0" applyFont="1" applyBorder="1" applyAlignment="1">
      <alignment horizontal="center" vertical="center"/>
    </xf>
    <xf numFmtId="178" fontId="16" fillId="0" borderId="16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0" borderId="23" xfId="0" applyFont="1" applyBorder="1" applyAlignment="1">
      <alignment horizontal="center"/>
    </xf>
    <xf numFmtId="183" fontId="16" fillId="0" borderId="23" xfId="0" applyNumberFormat="1" applyFont="1" applyBorder="1" applyAlignment="1">
      <alignment horizontal="center"/>
    </xf>
    <xf numFmtId="0" fontId="17" fillId="4" borderId="43" xfId="0" applyFont="1" applyFill="1" applyBorder="1" applyAlignment="1">
      <alignment horizontal="center" vertical="center"/>
    </xf>
    <xf numFmtId="0" fontId="17" fillId="4" borderId="44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4" borderId="22" xfId="0" applyFont="1" applyFill="1" applyBorder="1"/>
    <xf numFmtId="0" fontId="16" fillId="4" borderId="24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left" vertical="center" wrapText="1"/>
    </xf>
    <xf numFmtId="0" fontId="16" fillId="0" borderId="45" xfId="0" applyFont="1" applyBorder="1" applyAlignment="1">
      <alignment horizontal="center" vertical="center"/>
    </xf>
    <xf numFmtId="0" fontId="16" fillId="0" borderId="57" xfId="0" applyFont="1" applyBorder="1" applyAlignment="1">
      <alignment horizontal="left" vertical="center"/>
    </xf>
    <xf numFmtId="0" fontId="16" fillId="0" borderId="57" xfId="0" applyFont="1" applyBorder="1" applyAlignment="1">
      <alignment horizontal="center"/>
    </xf>
    <xf numFmtId="0" fontId="16" fillId="0" borderId="57" xfId="0" applyFont="1" applyBorder="1" applyAlignment="1">
      <alignment horizontal="left"/>
    </xf>
    <xf numFmtId="184" fontId="16" fillId="0" borderId="57" xfId="0" applyNumberFormat="1" applyFont="1" applyBorder="1" applyAlignment="1">
      <alignment horizontal="center"/>
    </xf>
    <xf numFmtId="10" fontId="16" fillId="0" borderId="0" xfId="0" applyNumberFormat="1" applyFont="1" applyAlignment="1">
      <alignment horizontal="center"/>
    </xf>
    <xf numFmtId="0" fontId="16" fillId="0" borderId="43" xfId="0" applyFont="1" applyBorder="1" applyAlignment="1">
      <alignment horizontal="center" vertical="center"/>
    </xf>
    <xf numFmtId="0" fontId="16" fillId="0" borderId="55" xfId="0" applyFont="1" applyBorder="1" applyAlignment="1">
      <alignment vertical="center"/>
    </xf>
    <xf numFmtId="0" fontId="16" fillId="0" borderId="55" xfId="0" applyFont="1" applyBorder="1" applyAlignment="1">
      <alignment horizontal="center"/>
    </xf>
    <xf numFmtId="178" fontId="16" fillId="0" borderId="55" xfId="0" applyNumberFormat="1" applyFont="1" applyBorder="1" applyAlignment="1">
      <alignment horizontal="center" vertical="center"/>
    </xf>
    <xf numFmtId="177" fontId="16" fillId="0" borderId="55" xfId="0" applyNumberFormat="1" applyFont="1" applyBorder="1" applyAlignment="1">
      <alignment horizontal="center"/>
    </xf>
    <xf numFmtId="178" fontId="16" fillId="0" borderId="23" xfId="0" applyNumberFormat="1" applyFont="1" applyBorder="1" applyAlignment="1">
      <alignment horizontal="center" vertical="center"/>
    </xf>
    <xf numFmtId="177" fontId="16" fillId="0" borderId="23" xfId="0" applyNumberFormat="1" applyFont="1" applyBorder="1" applyAlignment="1">
      <alignment horizontal="center"/>
    </xf>
    <xf numFmtId="0" fontId="16" fillId="4" borderId="22" xfId="0" applyFont="1" applyFill="1" applyBorder="1" applyAlignment="1">
      <alignment horizontal="left" vertical="center"/>
    </xf>
    <xf numFmtId="0" fontId="16" fillId="4" borderId="22" xfId="0" applyFont="1" applyFill="1" applyBorder="1" applyAlignment="1">
      <alignment horizontal="left"/>
    </xf>
    <xf numFmtId="0" fontId="16" fillId="4" borderId="24" xfId="0" applyFont="1" applyFill="1" applyBorder="1" applyAlignment="1">
      <alignment horizontal="center"/>
    </xf>
    <xf numFmtId="0" fontId="16" fillId="0" borderId="23" xfId="0" applyFont="1" applyBorder="1"/>
    <xf numFmtId="0" fontId="16" fillId="4" borderId="47" xfId="0" applyFont="1" applyFill="1" applyBorder="1"/>
    <xf numFmtId="0" fontId="16" fillId="4" borderId="48" xfId="0" applyFont="1" applyFill="1" applyBorder="1" applyAlignment="1">
      <alignment horizontal="center" vertical="center"/>
    </xf>
    <xf numFmtId="178" fontId="16" fillId="0" borderId="57" xfId="0" applyNumberFormat="1" applyFont="1" applyBorder="1" applyAlignment="1">
      <alignment horizontal="center" vertical="center"/>
    </xf>
    <xf numFmtId="178" fontId="16" fillId="0" borderId="55" xfId="0" applyNumberFormat="1" applyFont="1" applyBorder="1" applyAlignment="1">
      <alignment horizontal="center"/>
    </xf>
    <xf numFmtId="177" fontId="16" fillId="0" borderId="23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horizontal="center"/>
    </xf>
    <xf numFmtId="0" fontId="17" fillId="0" borderId="57" xfId="0" applyFont="1" applyBorder="1" applyAlignment="1">
      <alignment horizontal="center"/>
    </xf>
    <xf numFmtId="0" fontId="16" fillId="0" borderId="57" xfId="0" applyFont="1" applyBorder="1" applyAlignment="1">
      <alignment vertical="center"/>
    </xf>
    <xf numFmtId="178" fontId="16" fillId="0" borderId="57" xfId="0" applyNumberFormat="1" applyFont="1" applyBorder="1" applyAlignment="1">
      <alignment horizontal="center"/>
    </xf>
    <xf numFmtId="177" fontId="16" fillId="0" borderId="57" xfId="0" applyNumberFormat="1" applyFont="1" applyBorder="1" applyAlignment="1">
      <alignment horizontal="center" vertical="center"/>
    </xf>
    <xf numFmtId="0" fontId="16" fillId="0" borderId="55" xfId="0" applyFont="1" applyBorder="1"/>
    <xf numFmtId="7" fontId="16" fillId="0" borderId="23" xfId="0" applyNumberFormat="1" applyFont="1" applyBorder="1" applyAlignment="1">
      <alignment horizontal="center"/>
    </xf>
    <xf numFmtId="185" fontId="16" fillId="0" borderId="23" xfId="0" applyNumberFormat="1" applyFont="1" applyBorder="1" applyAlignment="1">
      <alignment horizontal="center"/>
    </xf>
    <xf numFmtId="0" fontId="16" fillId="0" borderId="56" xfId="0" applyFont="1" applyBorder="1"/>
    <xf numFmtId="185" fontId="16" fillId="0" borderId="56" xfId="0" applyNumberFormat="1" applyFont="1" applyBorder="1" applyAlignment="1">
      <alignment horizontal="center"/>
    </xf>
    <xf numFmtId="178" fontId="16" fillId="0" borderId="56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/>
    <xf numFmtId="0" fontId="16" fillId="0" borderId="16" xfId="0" applyFont="1" applyBorder="1" applyAlignment="1">
      <alignment horizontal="left"/>
    </xf>
    <xf numFmtId="178" fontId="16" fillId="0" borderId="16" xfId="0" applyNumberFormat="1" applyFont="1" applyBorder="1" applyAlignment="1">
      <alignment horizontal="center"/>
    </xf>
    <xf numFmtId="185" fontId="16" fillId="0" borderId="16" xfId="0" applyNumberFormat="1" applyFont="1" applyBorder="1" applyAlignment="1">
      <alignment horizontal="center"/>
    </xf>
    <xf numFmtId="0" fontId="20" fillId="0" borderId="23" xfId="0" applyFont="1" applyBorder="1" applyAlignment="1">
      <alignment vertical="center" wrapText="1"/>
    </xf>
    <xf numFmtId="0" fontId="20" fillId="0" borderId="56" xfId="0" applyFont="1" applyBorder="1" applyAlignment="1">
      <alignment vertical="center" wrapText="1"/>
    </xf>
    <xf numFmtId="0" fontId="16" fillId="0" borderId="16" xfId="0" applyFont="1" applyBorder="1" applyAlignment="1">
      <alignment horizontal="center"/>
    </xf>
    <xf numFmtId="177" fontId="16" fillId="0" borderId="16" xfId="0" applyNumberFormat="1" applyFont="1" applyBorder="1" applyAlignment="1">
      <alignment horizontal="center"/>
    </xf>
    <xf numFmtId="177" fontId="16" fillId="0" borderId="56" xfId="0" applyNumberFormat="1" applyFont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17" fillId="0" borderId="58" xfId="0" applyFont="1" applyBorder="1" applyAlignment="1">
      <alignment horizontal="center"/>
    </xf>
    <xf numFmtId="0" fontId="17" fillId="0" borderId="59" xfId="0" applyFont="1" applyBorder="1" applyAlignment="1">
      <alignment horizontal="center"/>
    </xf>
    <xf numFmtId="0" fontId="17" fillId="0" borderId="60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8" borderId="61" xfId="0" applyFont="1" applyFill="1" applyBorder="1" applyAlignment="1">
      <alignment horizontal="center"/>
    </xf>
    <xf numFmtId="0" fontId="17" fillId="8" borderId="38" xfId="0" applyFont="1" applyFill="1" applyBorder="1" applyAlignment="1">
      <alignment horizontal="center"/>
    </xf>
    <xf numFmtId="0" fontId="17" fillId="9" borderId="39" xfId="0" applyFont="1" applyFill="1" applyBorder="1" applyAlignment="1">
      <alignment horizontal="center"/>
    </xf>
    <xf numFmtId="180" fontId="17" fillId="9" borderId="39" xfId="0" applyNumberFormat="1" applyFont="1" applyFill="1" applyBorder="1" applyAlignment="1">
      <alignment horizontal="center"/>
    </xf>
    <xf numFmtId="0" fontId="17" fillId="9" borderId="40" xfId="0" applyFont="1" applyFill="1" applyBorder="1" applyAlignment="1">
      <alignment horizontal="center"/>
    </xf>
    <xf numFmtId="0" fontId="21" fillId="10" borderId="39" xfId="0" applyFont="1" applyFill="1" applyBorder="1" applyAlignment="1">
      <alignment horizontal="center"/>
    </xf>
    <xf numFmtId="0" fontId="22" fillId="10" borderId="0" xfId="0" applyFont="1" applyFill="1"/>
    <xf numFmtId="0" fontId="17" fillId="3" borderId="53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/>
    </xf>
    <xf numFmtId="180" fontId="18" fillId="3" borderId="54" xfId="0" applyNumberFormat="1" applyFont="1" applyFill="1" applyBorder="1" applyAlignment="1">
      <alignment horizontal="center"/>
    </xf>
    <xf numFmtId="0" fontId="18" fillId="3" borderId="54" xfId="0" applyFont="1" applyFill="1" applyBorder="1" applyAlignment="1">
      <alignment horizontal="center"/>
    </xf>
    <xf numFmtId="178" fontId="17" fillId="3" borderId="54" xfId="0" applyNumberFormat="1" applyFont="1" applyFill="1" applyBorder="1" applyAlignment="1">
      <alignment horizontal="center"/>
    </xf>
    <xf numFmtId="178" fontId="17" fillId="3" borderId="58" xfId="0" applyNumberFormat="1" applyFont="1" applyFill="1" applyBorder="1" applyAlignment="1">
      <alignment horizontal="center"/>
    </xf>
    <xf numFmtId="178" fontId="17" fillId="3" borderId="53" xfId="0" applyNumberFormat="1" applyFont="1" applyFill="1" applyBorder="1" applyAlignment="1">
      <alignment horizontal="center"/>
    </xf>
    <xf numFmtId="178" fontId="0" fillId="0" borderId="53" xfId="0" applyNumberFormat="1" applyBorder="1" applyAlignment="1">
      <alignment horizontal="center" vertical="center"/>
    </xf>
    <xf numFmtId="0" fontId="4" fillId="11" borderId="59" xfId="0" applyFont="1" applyFill="1" applyBorder="1" applyAlignment="1">
      <alignment horizontal="center"/>
    </xf>
    <xf numFmtId="14" fontId="23" fillId="0" borderId="43" xfId="0" applyNumberFormat="1" applyFont="1" applyBorder="1"/>
    <xf numFmtId="0" fontId="0" fillId="0" borderId="62" xfId="0" applyBorder="1"/>
    <xf numFmtId="0" fontId="0" fillId="0" borderId="43" xfId="0" applyBorder="1"/>
    <xf numFmtId="0" fontId="0" fillId="0" borderId="55" xfId="0" applyBorder="1"/>
    <xf numFmtId="26" fontId="0" fillId="0" borderId="55" xfId="0" applyNumberFormat="1" applyBorder="1"/>
    <xf numFmtId="0" fontId="0" fillId="0" borderId="44" xfId="0" applyBorder="1"/>
    <xf numFmtId="0" fontId="0" fillId="0" borderId="24" xfId="0" applyBorder="1"/>
    <xf numFmtId="14" fontId="23" fillId="0" borderId="22" xfId="0" applyNumberFormat="1" applyFont="1" applyBorder="1"/>
    <xf numFmtId="0" fontId="0" fillId="0" borderId="33" xfId="0" applyBorder="1"/>
    <xf numFmtId="0" fontId="0" fillId="0" borderId="22" xfId="0" applyBorder="1"/>
    <xf numFmtId="14" fontId="23" fillId="0" borderId="22" xfId="0" applyNumberFormat="1" applyFont="1" applyBorder="1" applyAlignment="1">
      <alignment horizontal="center"/>
    </xf>
    <xf numFmtId="0" fontId="16" fillId="0" borderId="33" xfId="0" applyFont="1" applyBorder="1"/>
    <xf numFmtId="0" fontId="16" fillId="0" borderId="22" xfId="0" applyFont="1" applyBorder="1"/>
    <xf numFmtId="26" fontId="16" fillId="0" borderId="23" xfId="0" applyNumberFormat="1" applyFont="1" applyBorder="1" applyAlignment="1">
      <alignment horizontal="center" vertical="center"/>
    </xf>
    <xf numFmtId="177" fontId="16" fillId="12" borderId="23" xfId="0" applyNumberFormat="1" applyFont="1" applyFill="1" applyBorder="1" applyAlignment="1">
      <alignment horizontal="center" vertical="center"/>
    </xf>
    <xf numFmtId="26" fontId="24" fillId="12" borderId="23" xfId="0" applyNumberFormat="1" applyFont="1" applyFill="1" applyBorder="1" applyAlignment="1">
      <alignment horizontal="center" vertical="center"/>
    </xf>
    <xf numFmtId="26" fontId="16" fillId="0" borderId="16" xfId="0" applyNumberFormat="1" applyFont="1" applyBorder="1" applyAlignment="1">
      <alignment horizontal="center"/>
    </xf>
    <xf numFmtId="180" fontId="16" fillId="12" borderId="23" xfId="0" applyNumberFormat="1" applyFont="1" applyFill="1" applyBorder="1" applyAlignment="1">
      <alignment horizontal="center"/>
    </xf>
    <xf numFmtId="15" fontId="16" fillId="0" borderId="23" xfId="0" applyNumberFormat="1" applyFont="1" applyBorder="1" applyAlignment="1">
      <alignment horizontal="center"/>
    </xf>
    <xf numFmtId="0" fontId="16" fillId="12" borderId="23" xfId="0" applyFont="1" applyFill="1" applyBorder="1" applyAlignment="1">
      <alignment horizontal="center"/>
    </xf>
    <xf numFmtId="14" fontId="23" fillId="0" borderId="15" xfId="0" applyNumberFormat="1" applyFont="1" applyBorder="1" applyAlignment="1">
      <alignment horizontal="center"/>
    </xf>
    <xf numFmtId="0" fontId="16" fillId="0" borderId="17" xfId="0" applyFont="1" applyBorder="1" applyAlignment="1">
      <alignment horizontal="left"/>
    </xf>
    <xf numFmtId="180" fontId="16" fillId="0" borderId="15" xfId="0" applyNumberFormat="1" applyFont="1" applyBorder="1" applyAlignment="1">
      <alignment horizontal="center"/>
    </xf>
    <xf numFmtId="15" fontId="16" fillId="12" borderId="23" xfId="0" applyNumberFormat="1" applyFont="1" applyFill="1" applyBorder="1" applyAlignment="1">
      <alignment horizontal="center"/>
    </xf>
    <xf numFmtId="178" fontId="16" fillId="12" borderId="23" xfId="0" applyNumberFormat="1" applyFont="1" applyFill="1" applyBorder="1" applyAlignment="1">
      <alignment horizontal="center"/>
    </xf>
    <xf numFmtId="0" fontId="25" fillId="12" borderId="23" xfId="6" applyFill="1" applyBorder="1" applyAlignment="1">
      <alignment horizontal="left" vertical="center"/>
    </xf>
    <xf numFmtId="0" fontId="16" fillId="0" borderId="18" xfId="0" applyFont="1" applyBorder="1" applyAlignment="1">
      <alignment horizontal="center" shrinkToFit="1"/>
    </xf>
    <xf numFmtId="180" fontId="16" fillId="0" borderId="23" xfId="0" applyNumberFormat="1" applyFont="1" applyBorder="1" applyAlignment="1">
      <alignment horizontal="center" vertical="center"/>
    </xf>
    <xf numFmtId="15" fontId="16" fillId="0" borderId="23" xfId="0" applyNumberFormat="1" applyFont="1" applyBorder="1" applyAlignment="1">
      <alignment horizontal="center" vertical="center"/>
    </xf>
    <xf numFmtId="0" fontId="25" fillId="0" borderId="23" xfId="6" applyBorder="1"/>
    <xf numFmtId="0" fontId="16" fillId="0" borderId="24" xfId="0" applyFont="1" applyBorder="1"/>
    <xf numFmtId="0" fontId="26" fillId="0" borderId="23" xfId="6" applyFont="1" applyBorder="1"/>
    <xf numFmtId="0" fontId="16" fillId="0" borderId="22" xfId="0" applyFont="1" applyBorder="1" applyAlignment="1">
      <alignment horizontal="left"/>
    </xf>
    <xf numFmtId="0" fontId="16" fillId="0" borderId="33" xfId="0" applyFont="1" applyBorder="1" applyAlignment="1">
      <alignment horizontal="left"/>
    </xf>
    <xf numFmtId="180" fontId="16" fillId="0" borderId="22" xfId="0" applyNumberFormat="1" applyFont="1" applyBorder="1" applyAlignment="1">
      <alignment horizontal="left"/>
    </xf>
    <xf numFmtId="180" fontId="16" fillId="0" borderId="23" xfId="0" applyNumberFormat="1" applyFont="1" applyBorder="1" applyAlignment="1">
      <alignment horizontal="left"/>
    </xf>
    <xf numFmtId="0" fontId="25" fillId="0" borderId="23" xfId="6" applyBorder="1" applyAlignment="1">
      <alignment horizontal="left"/>
    </xf>
    <xf numFmtId="0" fontId="16" fillId="0" borderId="24" xfId="0" applyFont="1" applyBorder="1" applyAlignment="1">
      <alignment horizontal="center" shrinkToFit="1"/>
    </xf>
    <xf numFmtId="0" fontId="19" fillId="0" borderId="33" xfId="0" applyFont="1" applyBorder="1" applyAlignment="1">
      <alignment wrapText="1"/>
    </xf>
    <xf numFmtId="14" fontId="23" fillId="0" borderId="45" xfId="0" applyNumberFormat="1" applyFont="1" applyBorder="1" applyAlignment="1">
      <alignment horizontal="center"/>
    </xf>
    <xf numFmtId="0" fontId="19" fillId="0" borderId="63" xfId="0" applyFont="1" applyBorder="1" applyAlignment="1">
      <alignment wrapText="1"/>
    </xf>
    <xf numFmtId="0" fontId="16" fillId="0" borderId="45" xfId="0" applyFont="1" applyBorder="1"/>
    <xf numFmtId="177" fontId="16" fillId="12" borderId="57" xfId="0" applyNumberFormat="1" applyFont="1" applyFill="1" applyBorder="1" applyAlignment="1">
      <alignment horizontal="center" vertical="center"/>
    </xf>
    <xf numFmtId="15" fontId="16" fillId="0" borderId="57" xfId="0" applyNumberFormat="1" applyFont="1" applyBorder="1" applyAlignment="1">
      <alignment horizontal="center"/>
    </xf>
    <xf numFmtId="0" fontId="25" fillId="0" borderId="57" xfId="6" applyBorder="1" applyAlignment="1">
      <alignment horizontal="left"/>
    </xf>
    <xf numFmtId="0" fontId="16" fillId="0" borderId="46" xfId="0" applyFont="1" applyBorder="1" applyAlignment="1">
      <alignment horizontal="center" shrinkToFit="1"/>
    </xf>
    <xf numFmtId="14" fontId="23" fillId="0" borderId="47" xfId="0" applyNumberFormat="1" applyFont="1" applyBorder="1" applyAlignment="1">
      <alignment horizontal="center"/>
    </xf>
    <xf numFmtId="0" fontId="27" fillId="0" borderId="64" xfId="0" applyFont="1" applyBorder="1" applyAlignment="1">
      <alignment wrapText="1"/>
    </xf>
    <xf numFmtId="0" fontId="16" fillId="0" borderId="47" xfId="0" applyFont="1" applyBorder="1"/>
    <xf numFmtId="178" fontId="16" fillId="0" borderId="56" xfId="0" applyNumberFormat="1" applyFont="1" applyBorder="1" applyAlignment="1">
      <alignment horizontal="center" vertical="center"/>
    </xf>
    <xf numFmtId="177" fontId="16" fillId="12" borderId="56" xfId="0" applyNumberFormat="1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/>
    </xf>
    <xf numFmtId="180" fontId="16" fillId="12" borderId="56" xfId="0" applyNumberFormat="1" applyFont="1" applyFill="1" applyBorder="1" applyAlignment="1">
      <alignment horizontal="center"/>
    </xf>
    <xf numFmtId="15" fontId="16" fillId="0" borderId="56" xfId="0" applyNumberFormat="1" applyFont="1" applyBorder="1" applyAlignment="1">
      <alignment horizontal="center"/>
    </xf>
    <xf numFmtId="0" fontId="25" fillId="0" borderId="56" xfId="6" applyBorder="1" applyAlignment="1">
      <alignment horizontal="left"/>
    </xf>
    <xf numFmtId="0" fontId="16" fillId="0" borderId="48" xfId="0" applyFont="1" applyBorder="1" applyAlignment="1">
      <alignment horizontal="center" shrinkToFit="1"/>
    </xf>
    <xf numFmtId="0" fontId="0" fillId="0" borderId="47" xfId="0" applyBorder="1"/>
    <xf numFmtId="0" fontId="0" fillId="0" borderId="56" xfId="0" applyBorder="1"/>
    <xf numFmtId="0" fontId="0" fillId="0" borderId="48" xfId="0" applyBorder="1"/>
    <xf numFmtId="26" fontId="0" fillId="0" borderId="0" xfId="0" applyNumberFormat="1"/>
    <xf numFmtId="186" fontId="0" fillId="0" borderId="0" xfId="0" applyNumberFormat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186" fontId="17" fillId="0" borderId="54" xfId="0" applyNumberFormat="1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17" fillId="8" borderId="57" xfId="0" applyFont="1" applyFill="1" applyBorder="1" applyAlignment="1">
      <alignment horizontal="center" vertical="center"/>
    </xf>
    <xf numFmtId="0" fontId="17" fillId="8" borderId="63" xfId="0" applyFont="1" applyFill="1" applyBorder="1" applyAlignment="1">
      <alignment horizontal="center"/>
    </xf>
    <xf numFmtId="0" fontId="17" fillId="9" borderId="38" xfId="0" applyFont="1" applyFill="1" applyBorder="1" applyAlignment="1">
      <alignment horizontal="center"/>
    </xf>
    <xf numFmtId="181" fontId="17" fillId="3" borderId="54" xfId="0" applyNumberFormat="1" applyFont="1" applyFill="1" applyBorder="1" applyAlignment="1">
      <alignment horizontal="center"/>
    </xf>
    <xf numFmtId="181" fontId="17" fillId="3" borderId="54" xfId="0" applyNumberFormat="1" applyFont="1" applyFill="1" applyBorder="1" applyAlignment="1">
      <alignment horizontal="center" vertical="center"/>
    </xf>
    <xf numFmtId="0" fontId="21" fillId="3" borderId="39" xfId="0" applyFont="1" applyFill="1" applyBorder="1" applyAlignment="1">
      <alignment horizontal="center"/>
    </xf>
    <xf numFmtId="181" fontId="17" fillId="3" borderId="58" xfId="0" applyNumberFormat="1" applyFont="1" applyFill="1" applyBorder="1" applyAlignment="1">
      <alignment horizontal="center"/>
    </xf>
    <xf numFmtId="0" fontId="16" fillId="8" borderId="43" xfId="0" applyFont="1" applyFill="1" applyBorder="1" applyAlignment="1">
      <alignment horizontal="center" vertical="center"/>
    </xf>
    <xf numFmtId="181" fontId="17" fillId="8" borderId="62" xfId="0" applyNumberFormat="1" applyFont="1" applyFill="1" applyBorder="1" applyAlignment="1">
      <alignment horizontal="center"/>
    </xf>
    <xf numFmtId="181" fontId="17" fillId="3" borderId="43" xfId="0" applyNumberFormat="1" applyFont="1" applyFill="1" applyBorder="1" applyAlignment="1">
      <alignment horizontal="center"/>
    </xf>
    <xf numFmtId="181" fontId="17" fillId="3" borderId="55" xfId="0" applyNumberFormat="1" applyFont="1" applyFill="1" applyBorder="1" applyAlignment="1">
      <alignment horizontal="center"/>
    </xf>
    <xf numFmtId="181" fontId="17" fillId="3" borderId="44" xfId="0" applyNumberFormat="1" applyFont="1" applyFill="1" applyBorder="1" applyAlignment="1">
      <alignment horizontal="center"/>
    </xf>
    <xf numFmtId="178" fontId="0" fillId="0" borderId="65" xfId="0" applyNumberFormat="1" applyBorder="1"/>
    <xf numFmtId="0" fontId="4" fillId="11" borderId="44" xfId="0" applyFont="1" applyFill="1" applyBorder="1" applyAlignment="1">
      <alignment horizontal="center"/>
    </xf>
    <xf numFmtId="0" fontId="0" fillId="0" borderId="55" xfId="0" applyBorder="1" applyAlignment="1">
      <alignment horizontal="center" vertical="center"/>
    </xf>
    <xf numFmtId="186" fontId="0" fillId="0" borderId="55" xfId="0" applyNumberFormat="1" applyBorder="1" applyAlignment="1">
      <alignment horizontal="center" vertical="center"/>
    </xf>
    <xf numFmtId="178" fontId="28" fillId="0" borderId="22" xfId="0" applyNumberFormat="1" applyFont="1" applyBorder="1" applyAlignment="1">
      <alignment horizontal="center"/>
    </xf>
    <xf numFmtId="178" fontId="28" fillId="0" borderId="23" xfId="0" applyNumberFormat="1" applyFont="1" applyBorder="1" applyAlignment="1">
      <alignment horizontal="center"/>
    </xf>
    <xf numFmtId="178" fontId="28" fillId="0" borderId="24" xfId="0" applyNumberFormat="1" applyFont="1" applyBorder="1" applyAlignment="1">
      <alignment horizontal="center"/>
    </xf>
    <xf numFmtId="0" fontId="0" fillId="0" borderId="66" xfId="0" applyBorder="1"/>
    <xf numFmtId="0" fontId="0" fillId="0" borderId="23" xfId="0" applyBorder="1" applyAlignment="1">
      <alignment horizontal="center" vertical="center"/>
    </xf>
    <xf numFmtId="186" fontId="0" fillId="0" borderId="23" xfId="0" applyNumberFormat="1" applyBorder="1" applyAlignment="1">
      <alignment horizontal="center" vertical="center"/>
    </xf>
    <xf numFmtId="0" fontId="0" fillId="0" borderId="67" xfId="0" applyBorder="1"/>
    <xf numFmtId="186" fontId="16" fillId="0" borderId="23" xfId="0" applyNumberFormat="1" applyFont="1" applyBorder="1" applyAlignment="1">
      <alignment horizontal="center" vertical="center"/>
    </xf>
    <xf numFmtId="181" fontId="0" fillId="0" borderId="0" xfId="0" applyNumberFormat="1"/>
    <xf numFmtId="180" fontId="16" fillId="0" borderId="23" xfId="0" applyNumberFormat="1" applyFont="1" applyBorder="1" applyAlignment="1">
      <alignment horizontal="center"/>
    </xf>
    <xf numFmtId="186" fontId="16" fillId="12" borderId="23" xfId="0" applyNumberFormat="1" applyFont="1" applyFill="1" applyBorder="1" applyAlignment="1">
      <alignment horizontal="center" vertical="center"/>
    </xf>
    <xf numFmtId="0" fontId="25" fillId="12" borderId="33" xfId="6" applyFill="1" applyBorder="1" applyAlignment="1">
      <alignment horizontal="left" vertical="center"/>
    </xf>
    <xf numFmtId="0" fontId="16" fillId="0" borderId="33" xfId="0" applyFont="1" applyBorder="1" applyAlignment="1">
      <alignment horizontal="center" shrinkToFit="1"/>
    </xf>
    <xf numFmtId="0" fontId="25" fillId="0" borderId="33" xfId="6" applyBorder="1"/>
    <xf numFmtId="0" fontId="26" fillId="12" borderId="22" xfId="6" applyFont="1" applyFill="1" applyBorder="1" applyAlignment="1">
      <alignment horizontal="center" vertical="center"/>
    </xf>
    <xf numFmtId="0" fontId="25" fillId="0" borderId="22" xfId="6" applyBorder="1" applyAlignment="1">
      <alignment horizontal="left" vertical="center" shrinkToFit="1"/>
    </xf>
    <xf numFmtId="26" fontId="29" fillId="0" borderId="22" xfId="6" applyNumberFormat="1" applyFont="1" applyBorder="1" applyAlignment="1">
      <alignment horizontal="center"/>
    </xf>
    <xf numFmtId="0" fontId="26" fillId="0" borderId="33" xfId="6" applyFont="1" applyBorder="1"/>
    <xf numFmtId="0" fontId="26" fillId="0" borderId="22" xfId="6" applyFont="1" applyBorder="1" applyAlignment="1">
      <alignment horizontal="left"/>
    </xf>
    <xf numFmtId="26" fontId="0" fillId="0" borderId="67" xfId="0" applyNumberFormat="1" applyBorder="1"/>
    <xf numFmtId="0" fontId="4" fillId="0" borderId="24" xfId="0" applyFont="1" applyBorder="1" applyAlignment="1">
      <alignment horizontal="center"/>
    </xf>
    <xf numFmtId="14" fontId="30" fillId="0" borderId="22" xfId="0" applyNumberFormat="1" applyFont="1" applyBorder="1" applyAlignment="1">
      <alignment horizontal="center"/>
    </xf>
    <xf numFmtId="0" fontId="30" fillId="0" borderId="23" xfId="0" applyFont="1" applyBorder="1"/>
    <xf numFmtId="26" fontId="30" fillId="0" borderId="23" xfId="0" applyNumberFormat="1" applyFont="1" applyBorder="1" applyAlignment="1">
      <alignment horizontal="center" vertical="center"/>
    </xf>
    <xf numFmtId="177" fontId="30" fillId="0" borderId="23" xfId="0" applyNumberFormat="1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180" fontId="30" fillId="0" borderId="23" xfId="0" applyNumberFormat="1" applyFont="1" applyBorder="1" applyAlignment="1">
      <alignment horizontal="center" vertical="center"/>
    </xf>
    <xf numFmtId="186" fontId="30" fillId="0" borderId="23" xfId="0" applyNumberFormat="1" applyFont="1" applyBorder="1" applyAlignment="1">
      <alignment horizontal="center" vertical="center"/>
    </xf>
    <xf numFmtId="0" fontId="30" fillId="0" borderId="23" xfId="0" applyFont="1" applyBorder="1" applyAlignment="1">
      <alignment horizontal="center"/>
    </xf>
    <xf numFmtId="0" fontId="31" fillId="0" borderId="33" xfId="6" applyFont="1" applyBorder="1"/>
    <xf numFmtId="0" fontId="31" fillId="0" borderId="22" xfId="6" applyFont="1" applyBorder="1" applyAlignment="1">
      <alignment horizontal="left" vertical="center"/>
    </xf>
    <xf numFmtId="0" fontId="30" fillId="0" borderId="33" xfId="0" applyFont="1" applyBorder="1" applyAlignment="1">
      <alignment horizontal="left"/>
    </xf>
    <xf numFmtId="178" fontId="29" fillId="0" borderId="23" xfId="0" applyNumberFormat="1" applyFont="1" applyBorder="1" applyAlignment="1">
      <alignment horizontal="center"/>
    </xf>
    <xf numFmtId="178" fontId="29" fillId="0" borderId="24" xfId="0" applyNumberFormat="1" applyFont="1" applyBorder="1" applyAlignment="1">
      <alignment horizontal="center"/>
    </xf>
    <xf numFmtId="26" fontId="30" fillId="0" borderId="67" xfId="0" applyNumberFormat="1" applyFont="1" applyBorder="1"/>
    <xf numFmtId="14" fontId="30" fillId="0" borderId="67" xfId="0" applyNumberFormat="1" applyFont="1" applyBorder="1" applyAlignment="1">
      <alignment horizontal="center"/>
    </xf>
    <xf numFmtId="0" fontId="31" fillId="0" borderId="23" xfId="6" applyFont="1" applyBorder="1"/>
    <xf numFmtId="178" fontId="30" fillId="0" borderId="23" xfId="0" applyNumberFormat="1" applyFont="1" applyBorder="1" applyAlignment="1">
      <alignment horizontal="center" vertical="center"/>
    </xf>
    <xf numFmtId="182" fontId="30" fillId="0" borderId="23" xfId="0" applyNumberFormat="1" applyFont="1" applyBorder="1" applyAlignment="1">
      <alignment horizontal="center" vertical="center"/>
    </xf>
    <xf numFmtId="187" fontId="30" fillId="0" borderId="23" xfId="0" applyNumberFormat="1" applyFont="1" applyBorder="1" applyAlignment="1">
      <alignment horizontal="center" vertical="center"/>
    </xf>
    <xf numFmtId="0" fontId="30" fillId="0" borderId="33" xfId="0" applyFont="1" applyBorder="1"/>
    <xf numFmtId="0" fontId="30" fillId="0" borderId="22" xfId="0" applyFont="1" applyBorder="1"/>
    <xf numFmtId="0" fontId="32" fillId="0" borderId="33" xfId="6" applyFont="1" applyBorder="1"/>
    <xf numFmtId="0" fontId="29" fillId="0" borderId="23" xfId="0" applyFont="1" applyBorder="1"/>
    <xf numFmtId="26" fontId="29" fillId="0" borderId="23" xfId="6" applyNumberFormat="1" applyFont="1" applyBorder="1" applyAlignment="1">
      <alignment horizontal="center"/>
    </xf>
    <xf numFmtId="26" fontId="29" fillId="0" borderId="24" xfId="6" applyNumberFormat="1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0" xfId="0" applyFont="1"/>
    <xf numFmtId="0" fontId="31" fillId="0" borderId="22" xfId="6" applyFont="1" applyBorder="1"/>
    <xf numFmtId="14" fontId="30" fillId="0" borderId="23" xfId="0" applyNumberFormat="1" applyFont="1" applyBorder="1" applyAlignment="1">
      <alignment horizontal="center"/>
    </xf>
    <xf numFmtId="0" fontId="31" fillId="12" borderId="22" xfId="6" applyFont="1" applyFill="1" applyBorder="1" applyAlignment="1">
      <alignment horizontal="left"/>
    </xf>
    <xf numFmtId="0" fontId="31" fillId="0" borderId="33" xfId="6" applyFont="1" applyBorder="1" applyAlignment="1">
      <alignment horizontal="left"/>
    </xf>
    <xf numFmtId="0" fontId="29" fillId="12" borderId="23" xfId="0" applyFont="1" applyFill="1" applyBorder="1" applyAlignment="1">
      <alignment horizontal="center"/>
    </xf>
    <xf numFmtId="0" fontId="30" fillId="0" borderId="23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178" fontId="30" fillId="0" borderId="23" xfId="0" applyNumberFormat="1" applyFont="1" applyBorder="1"/>
    <xf numFmtId="178" fontId="29" fillId="0" borderId="23" xfId="0" applyNumberFormat="1" applyFont="1" applyBorder="1" applyAlignment="1">
      <alignment horizontal="center" vertical="center"/>
    </xf>
    <xf numFmtId="0" fontId="30" fillId="0" borderId="23" xfId="0" applyFont="1" applyBorder="1" applyAlignment="1">
      <alignment horizontal="left"/>
    </xf>
    <xf numFmtId="180" fontId="30" fillId="0" borderId="23" xfId="0" applyNumberFormat="1" applyFont="1" applyBorder="1" applyAlignment="1">
      <alignment horizontal="left"/>
    </xf>
    <xf numFmtId="177" fontId="30" fillId="12" borderId="23" xfId="0" applyNumberFormat="1" applyFont="1" applyFill="1" applyBorder="1" applyAlignment="1">
      <alignment horizontal="center" vertical="center"/>
    </xf>
    <xf numFmtId="26" fontId="30" fillId="0" borderId="23" xfId="0" applyNumberFormat="1" applyFont="1" applyBorder="1" applyAlignment="1">
      <alignment horizontal="center"/>
    </xf>
    <xf numFmtId="180" fontId="30" fillId="12" borderId="23" xfId="0" applyNumberFormat="1" applyFont="1" applyFill="1" applyBorder="1" applyAlignment="1">
      <alignment horizontal="center"/>
    </xf>
    <xf numFmtId="14" fontId="30" fillId="0" borderId="23" xfId="0" applyNumberFormat="1" applyFont="1" applyBorder="1" applyAlignment="1">
      <alignment horizontal="center" vertical="center"/>
    </xf>
    <xf numFmtId="178" fontId="30" fillId="0" borderId="23" xfId="0" applyNumberFormat="1" applyFont="1" applyBorder="1" applyAlignment="1">
      <alignment horizontal="center"/>
    </xf>
    <xf numFmtId="0" fontId="32" fillId="0" borderId="22" xfId="6" applyFont="1" applyBorder="1" applyAlignment="1">
      <alignment horizontal="left"/>
    </xf>
    <xf numFmtId="0" fontId="32" fillId="0" borderId="33" xfId="6" applyFont="1" applyBorder="1" applyAlignment="1">
      <alignment horizontal="left" shrinkToFit="1"/>
    </xf>
    <xf numFmtId="186" fontId="30" fillId="0" borderId="23" xfId="0" applyNumberFormat="1" applyFont="1" applyBorder="1" applyAlignment="1">
      <alignment horizontal="center"/>
    </xf>
    <xf numFmtId="0" fontId="32" fillId="0" borderId="22" xfId="6" applyFont="1" applyBorder="1"/>
    <xf numFmtId="0" fontId="31" fillId="0" borderId="33" xfId="6" applyFont="1" applyBorder="1" applyAlignment="1">
      <alignment horizontal="left" shrinkToFit="1"/>
    </xf>
    <xf numFmtId="178" fontId="29" fillId="0" borderId="22" xfId="0" applyNumberFormat="1" applyFont="1" applyBorder="1" applyAlignment="1">
      <alignment horizontal="center"/>
    </xf>
    <xf numFmtId="178" fontId="30" fillId="0" borderId="0" xfId="0" applyNumberFormat="1" applyFont="1"/>
    <xf numFmtId="14" fontId="34" fillId="0" borderId="22" xfId="0" applyNumberFormat="1" applyFont="1" applyBorder="1" applyAlignment="1">
      <alignment horizontal="center" vertical="center"/>
    </xf>
    <xf numFmtId="0" fontId="34" fillId="0" borderId="23" xfId="0" applyFont="1" applyBorder="1" applyAlignment="1">
      <alignment horizontal="left" vertical="center"/>
    </xf>
    <xf numFmtId="0" fontId="30" fillId="0" borderId="23" xfId="0" applyFont="1" applyBorder="1" applyAlignment="1">
      <alignment vertical="center"/>
    </xf>
    <xf numFmtId="26" fontId="30" fillId="0" borderId="23" xfId="0" applyNumberFormat="1" applyFont="1" applyBorder="1" applyAlignment="1">
      <alignment vertical="center"/>
    </xf>
    <xf numFmtId="15" fontId="30" fillId="0" borderId="23" xfId="0" applyNumberFormat="1" applyFont="1" applyBorder="1" applyAlignment="1">
      <alignment horizontal="center"/>
    </xf>
    <xf numFmtId="0" fontId="33" fillId="13" borderId="23" xfId="0" applyFont="1" applyFill="1" applyBorder="1" applyAlignment="1">
      <alignment horizontal="center"/>
    </xf>
    <xf numFmtId="0" fontId="31" fillId="0" borderId="33" xfId="6" applyFont="1" applyBorder="1" applyAlignment="1">
      <alignment horizontal="left" vertical="center"/>
    </xf>
    <xf numFmtId="0" fontId="30" fillId="0" borderId="22" xfId="0" applyFont="1" applyBorder="1" applyAlignment="1">
      <alignment horizontal="center"/>
    </xf>
    <xf numFmtId="0" fontId="30" fillId="0" borderId="33" xfId="0" applyFont="1" applyBorder="1" applyAlignment="1">
      <alignment horizontal="left" shrinkToFit="1"/>
    </xf>
    <xf numFmtId="0" fontId="31" fillId="0" borderId="33" xfId="6" applyFont="1" applyBorder="1" applyAlignment="1">
      <alignment horizontal="center" vertical="center"/>
    </xf>
    <xf numFmtId="0" fontId="32" fillId="0" borderId="33" xfId="6" applyFont="1" applyBorder="1" applyAlignment="1">
      <alignment horizontal="left" vertical="center"/>
    </xf>
    <xf numFmtId="0" fontId="34" fillId="0" borderId="23" xfId="0" applyFont="1" applyBorder="1" applyAlignment="1">
      <alignment wrapText="1"/>
    </xf>
    <xf numFmtId="0" fontId="30" fillId="0" borderId="0" xfId="0" applyFont="1" applyAlignment="1">
      <alignment horizontal="center" vertical="center"/>
    </xf>
    <xf numFmtId="177" fontId="30" fillId="0" borderId="23" xfId="0" applyNumberFormat="1" applyFont="1" applyBorder="1" applyAlignment="1">
      <alignment horizontal="center"/>
    </xf>
    <xf numFmtId="186" fontId="34" fillId="14" borderId="68" xfId="0" applyNumberFormat="1" applyFont="1" applyFill="1" applyBorder="1" applyAlignment="1">
      <alignment horizontal="center" vertical="center"/>
    </xf>
    <xf numFmtId="0" fontId="34" fillId="14" borderId="57" xfId="0" applyFont="1" applyFill="1" applyBorder="1" applyAlignment="1">
      <alignment horizontal="left" vertical="center"/>
    </xf>
    <xf numFmtId="0" fontId="30" fillId="14" borderId="57" xfId="0" applyFont="1" applyFill="1" applyBorder="1" applyAlignment="1">
      <alignment horizontal="center" vertical="center"/>
    </xf>
    <xf numFmtId="0" fontId="30" fillId="14" borderId="57" xfId="0" applyFont="1" applyFill="1" applyBorder="1" applyAlignment="1">
      <alignment horizontal="left" vertical="center"/>
    </xf>
    <xf numFmtId="0" fontId="30" fillId="14" borderId="57" xfId="0" applyFont="1" applyFill="1" applyBorder="1" applyAlignment="1">
      <alignment vertical="center"/>
    </xf>
    <xf numFmtId="178" fontId="30" fillId="14" borderId="57" xfId="0" applyNumberFormat="1" applyFont="1" applyFill="1" applyBorder="1" applyAlignment="1">
      <alignment horizontal="center" vertical="center"/>
    </xf>
    <xf numFmtId="177" fontId="30" fillId="14" borderId="23" xfId="0" applyNumberFormat="1" applyFont="1" applyFill="1" applyBorder="1" applyAlignment="1">
      <alignment horizontal="center" vertical="center"/>
    </xf>
    <xf numFmtId="26" fontId="30" fillId="14" borderId="23" xfId="0" applyNumberFormat="1" applyFont="1" applyFill="1" applyBorder="1" applyAlignment="1">
      <alignment horizontal="center"/>
    </xf>
    <xf numFmtId="0" fontId="34" fillId="14" borderId="23" xfId="0" applyFont="1" applyFill="1" applyBorder="1" applyAlignment="1">
      <alignment horizontal="center" vertical="center"/>
    </xf>
    <xf numFmtId="187" fontId="30" fillId="14" borderId="23" xfId="0" applyNumberFormat="1" applyFont="1" applyFill="1" applyBorder="1" applyAlignment="1">
      <alignment horizontal="center" vertical="center"/>
    </xf>
    <xf numFmtId="26" fontId="30" fillId="14" borderId="23" xfId="0" applyNumberFormat="1" applyFont="1" applyFill="1" applyBorder="1" applyAlignment="1">
      <alignment horizontal="center" vertical="center"/>
    </xf>
    <xf numFmtId="0" fontId="30" fillId="14" borderId="23" xfId="0" applyFont="1" applyFill="1" applyBorder="1" applyAlignment="1">
      <alignment vertical="center"/>
    </xf>
    <xf numFmtId="15" fontId="30" fillId="14" borderId="23" xfId="0" applyNumberFormat="1" applyFont="1" applyFill="1" applyBorder="1" applyAlignment="1">
      <alignment horizontal="center"/>
    </xf>
    <xf numFmtId="0" fontId="30" fillId="14" borderId="23" xfId="0" applyFont="1" applyFill="1" applyBorder="1" applyAlignment="1">
      <alignment horizontal="center"/>
    </xf>
    <xf numFmtId="178" fontId="30" fillId="14" borderId="23" xfId="0" applyNumberFormat="1" applyFont="1" applyFill="1" applyBorder="1" applyAlignment="1">
      <alignment horizontal="center" vertical="center"/>
    </xf>
    <xf numFmtId="0" fontId="30" fillId="14" borderId="33" xfId="0" applyFont="1" applyFill="1" applyBorder="1" applyAlignment="1">
      <alignment vertical="center"/>
    </xf>
    <xf numFmtId="0" fontId="30" fillId="14" borderId="22" xfId="0" applyFont="1" applyFill="1" applyBorder="1" applyAlignment="1">
      <alignment horizontal="center"/>
    </xf>
    <xf numFmtId="0" fontId="32" fillId="14" borderId="33" xfId="6" applyFont="1" applyFill="1" applyBorder="1" applyAlignment="1">
      <alignment horizontal="left" vertical="center"/>
    </xf>
    <xf numFmtId="26" fontId="29" fillId="14" borderId="22" xfId="6" applyNumberFormat="1" applyFont="1" applyFill="1" applyBorder="1" applyAlignment="1">
      <alignment horizontal="center"/>
    </xf>
    <xf numFmtId="26" fontId="29" fillId="14" borderId="23" xfId="6" applyNumberFormat="1" applyFont="1" applyFill="1" applyBorder="1" applyAlignment="1">
      <alignment horizontal="center"/>
    </xf>
    <xf numFmtId="26" fontId="29" fillId="14" borderId="24" xfId="6" applyNumberFormat="1" applyFont="1" applyFill="1" applyBorder="1" applyAlignment="1">
      <alignment horizontal="center"/>
    </xf>
    <xf numFmtId="14" fontId="30" fillId="0" borderId="47" xfId="0" applyNumberFormat="1" applyFont="1" applyBorder="1" applyAlignment="1">
      <alignment horizontal="center"/>
    </xf>
    <xf numFmtId="0" fontId="35" fillId="0" borderId="56" xfId="0" applyFont="1" applyBorder="1" applyAlignment="1">
      <alignment wrapText="1"/>
    </xf>
    <xf numFmtId="0" fontId="30" fillId="0" borderId="56" xfId="0" applyFont="1" applyBorder="1"/>
    <xf numFmtId="0" fontId="30" fillId="0" borderId="56" xfId="0" applyFont="1" applyBorder="1" applyAlignment="1">
      <alignment horizontal="left"/>
    </xf>
    <xf numFmtId="178" fontId="30" fillId="0" borderId="56" xfId="0" applyNumberFormat="1" applyFont="1" applyBorder="1" applyAlignment="1">
      <alignment horizontal="center" vertical="center"/>
    </xf>
    <xf numFmtId="177" fontId="30" fillId="12" borderId="56" xfId="0" applyNumberFormat="1" applyFont="1" applyFill="1" applyBorder="1" applyAlignment="1">
      <alignment horizontal="center" vertical="center"/>
    </xf>
    <xf numFmtId="0" fontId="30" fillId="0" borderId="56" xfId="0" applyFont="1" applyBorder="1" applyAlignment="1">
      <alignment horizontal="center" vertical="center"/>
    </xf>
    <xf numFmtId="0" fontId="30" fillId="0" borderId="56" xfId="0" applyFont="1" applyBorder="1" applyAlignment="1">
      <alignment horizontal="center"/>
    </xf>
    <xf numFmtId="26" fontId="30" fillId="0" borderId="56" xfId="0" applyNumberFormat="1" applyFont="1" applyBorder="1" applyAlignment="1">
      <alignment horizontal="center"/>
    </xf>
    <xf numFmtId="180" fontId="30" fillId="12" borderId="56" xfId="0" applyNumberFormat="1" applyFont="1" applyFill="1" applyBorder="1" applyAlignment="1">
      <alignment horizontal="center"/>
    </xf>
    <xf numFmtId="186" fontId="30" fillId="0" borderId="56" xfId="0" applyNumberFormat="1" applyFont="1" applyBorder="1" applyAlignment="1">
      <alignment horizontal="center" vertical="center"/>
    </xf>
    <xf numFmtId="178" fontId="30" fillId="0" borderId="56" xfId="0" applyNumberFormat="1" applyFont="1" applyBorder="1" applyAlignment="1">
      <alignment horizontal="center"/>
    </xf>
    <xf numFmtId="0" fontId="31" fillId="0" borderId="64" xfId="6" applyFont="1" applyBorder="1" applyAlignment="1">
      <alignment horizontal="left"/>
    </xf>
    <xf numFmtId="0" fontId="30" fillId="0" borderId="47" xfId="0" applyFont="1" applyBorder="1" applyAlignment="1">
      <alignment horizontal="center"/>
    </xf>
    <xf numFmtId="0" fontId="30" fillId="0" borderId="64" xfId="0" applyFont="1" applyBorder="1" applyAlignment="1">
      <alignment horizontal="left" shrinkToFit="1"/>
    </xf>
    <xf numFmtId="178" fontId="30" fillId="0" borderId="47" xfId="0" applyNumberFormat="1" applyFont="1" applyBorder="1"/>
    <xf numFmtId="178" fontId="30" fillId="0" borderId="56" xfId="0" applyNumberFormat="1" applyFont="1" applyBorder="1"/>
    <xf numFmtId="178" fontId="30" fillId="0" borderId="48" xfId="0" applyNumberFormat="1" applyFont="1" applyBorder="1"/>
    <xf numFmtId="0" fontId="30" fillId="0" borderId="48" xfId="0" applyFont="1" applyBorder="1" applyAlignment="1">
      <alignment horizontal="center"/>
    </xf>
    <xf numFmtId="0" fontId="0" fillId="0" borderId="0" xfId="0" applyAlignment="1">
      <alignment horizontal="center"/>
    </xf>
    <xf numFmtId="178" fontId="0" fillId="0" borderId="0" xfId="0" applyNumberFormat="1"/>
    <xf numFmtId="0" fontId="0" fillId="15" borderId="0" xfId="0" applyFill="1"/>
    <xf numFmtId="0" fontId="36" fillId="15" borderId="0" xfId="0" applyFont="1" applyFill="1"/>
    <xf numFmtId="0" fontId="16" fillId="16" borderId="0" xfId="0" applyFont="1" applyFill="1"/>
    <xf numFmtId="186" fontId="16" fillId="0" borderId="0" xfId="0" applyNumberFormat="1" applyFont="1"/>
    <xf numFmtId="0" fontId="16" fillId="0" borderId="0" xfId="0" applyFont="1" applyAlignment="1">
      <alignment vertical="top"/>
    </xf>
    <xf numFmtId="187" fontId="16" fillId="0" borderId="0" xfId="0" applyNumberFormat="1" applyFont="1"/>
    <xf numFmtId="187" fontId="16" fillId="0" borderId="0" xfId="0" applyNumberFormat="1" applyFont="1" applyAlignment="1">
      <alignment horizontal="center"/>
    </xf>
    <xf numFmtId="186" fontId="17" fillId="0" borderId="53" xfId="0" applyNumberFormat="1" applyFont="1" applyBorder="1" applyAlignment="1">
      <alignment horizontal="center"/>
    </xf>
    <xf numFmtId="0" fontId="17" fillId="0" borderId="59" xfId="0" applyFont="1" applyBorder="1" applyAlignment="1">
      <alignment horizontal="center" vertical="top"/>
    </xf>
    <xf numFmtId="187" fontId="17" fillId="0" borderId="59" xfId="0" applyNumberFormat="1" applyFont="1" applyBorder="1" applyAlignment="1">
      <alignment horizontal="center"/>
    </xf>
    <xf numFmtId="187" fontId="17" fillId="0" borderId="54" xfId="0" applyNumberFormat="1" applyFont="1" applyBorder="1" applyAlignment="1">
      <alignment horizontal="center"/>
    </xf>
    <xf numFmtId="187" fontId="17" fillId="0" borderId="58" xfId="0" applyNumberFormat="1" applyFont="1" applyBorder="1" applyAlignment="1">
      <alignment horizontal="center"/>
    </xf>
    <xf numFmtId="0" fontId="17" fillId="8" borderId="38" xfId="0" applyFont="1" applyFill="1" applyBorder="1" applyAlignment="1">
      <alignment horizontal="center" vertical="center"/>
    </xf>
    <xf numFmtId="0" fontId="17" fillId="8" borderId="61" xfId="0" applyFont="1" applyFill="1" applyBorder="1" applyAlignment="1">
      <alignment horizontal="center" vertical="center"/>
    </xf>
    <xf numFmtId="186" fontId="16" fillId="3" borderId="43" xfId="0" applyNumberFormat="1" applyFont="1" applyFill="1" applyBorder="1" applyAlignment="1">
      <alignment horizontal="center"/>
    </xf>
    <xf numFmtId="0" fontId="16" fillId="3" borderId="55" xfId="0" applyFont="1" applyFill="1" applyBorder="1" applyAlignment="1">
      <alignment horizontal="center"/>
    </xf>
    <xf numFmtId="180" fontId="37" fillId="3" borderId="55" xfId="0" applyNumberFormat="1" applyFont="1" applyFill="1" applyBorder="1" applyAlignment="1">
      <alignment horizontal="center"/>
    </xf>
    <xf numFmtId="0" fontId="37" fillId="3" borderId="55" xfId="0" applyFont="1" applyFill="1" applyBorder="1" applyAlignment="1">
      <alignment horizontal="center"/>
    </xf>
    <xf numFmtId="181" fontId="16" fillId="3" borderId="55" xfId="0" applyNumberFormat="1" applyFont="1" applyFill="1" applyBorder="1" applyAlignment="1">
      <alignment horizontal="center"/>
    </xf>
    <xf numFmtId="0" fontId="16" fillId="3" borderId="55" xfId="0" applyFont="1" applyFill="1" applyBorder="1" applyAlignment="1">
      <alignment horizontal="center" vertical="top"/>
    </xf>
    <xf numFmtId="187" fontId="16" fillId="3" borderId="55" xfId="0" applyNumberFormat="1" applyFont="1" applyFill="1" applyBorder="1" applyAlignment="1">
      <alignment horizontal="center"/>
    </xf>
    <xf numFmtId="26" fontId="16" fillId="3" borderId="55" xfId="0" applyNumberFormat="1" applyFont="1" applyFill="1" applyBorder="1" applyAlignment="1">
      <alignment horizontal="center"/>
    </xf>
    <xf numFmtId="0" fontId="22" fillId="3" borderId="55" xfId="0" applyFont="1" applyFill="1" applyBorder="1" applyAlignment="1">
      <alignment horizontal="center"/>
    </xf>
    <xf numFmtId="178" fontId="16" fillId="3" borderId="62" xfId="0" applyNumberFormat="1" applyFont="1" applyFill="1" applyBorder="1" applyAlignment="1">
      <alignment horizontal="center"/>
    </xf>
    <xf numFmtId="0" fontId="16" fillId="8" borderId="38" xfId="0" applyFont="1" applyFill="1" applyBorder="1" applyAlignment="1">
      <alignment horizontal="center" vertical="center"/>
    </xf>
    <xf numFmtId="0" fontId="16" fillId="8" borderId="69" xfId="0" applyFont="1" applyFill="1" applyBorder="1" applyAlignment="1">
      <alignment horizontal="center" vertical="center"/>
    </xf>
    <xf numFmtId="178" fontId="16" fillId="3" borderId="52" xfId="0" applyNumberFormat="1" applyFont="1" applyFill="1" applyBorder="1" applyAlignment="1">
      <alignment horizontal="center"/>
    </xf>
    <xf numFmtId="178" fontId="16" fillId="3" borderId="55" xfId="0" applyNumberFormat="1" applyFont="1" applyFill="1" applyBorder="1" applyAlignment="1">
      <alignment horizontal="center"/>
    </xf>
    <xf numFmtId="178" fontId="16" fillId="3" borderId="44" xfId="0" applyNumberFormat="1" applyFont="1" applyFill="1" applyBorder="1" applyAlignment="1">
      <alignment horizontal="center"/>
    </xf>
    <xf numFmtId="178" fontId="16" fillId="0" borderId="52" xfId="0" applyNumberFormat="1" applyFont="1" applyBorder="1"/>
    <xf numFmtId="0" fontId="16" fillId="11" borderId="44" xfId="0" applyFont="1" applyFill="1" applyBorder="1" applyAlignment="1">
      <alignment horizontal="center"/>
    </xf>
    <xf numFmtId="186" fontId="16" fillId="12" borderId="22" xfId="0" applyNumberFormat="1" applyFont="1" applyFill="1" applyBorder="1" applyAlignment="1">
      <alignment horizontal="center"/>
    </xf>
    <xf numFmtId="0" fontId="19" fillId="12" borderId="23" xfId="0" applyFont="1" applyFill="1" applyBorder="1" applyAlignment="1">
      <alignment horizontal="left" vertical="center"/>
    </xf>
    <xf numFmtId="0" fontId="19" fillId="12" borderId="23" xfId="0" applyFont="1" applyFill="1" applyBorder="1" applyAlignment="1">
      <alignment horizontal="center" vertical="center"/>
    </xf>
    <xf numFmtId="0" fontId="16" fillId="12" borderId="23" xfId="0" applyFont="1" applyFill="1" applyBorder="1" applyAlignment="1">
      <alignment horizontal="left"/>
    </xf>
    <xf numFmtId="0" fontId="37" fillId="12" borderId="23" xfId="0" applyFont="1" applyFill="1" applyBorder="1" applyAlignment="1">
      <alignment horizontal="center"/>
    </xf>
    <xf numFmtId="26" fontId="19" fillId="0" borderId="23" xfId="0" applyNumberFormat="1" applyFont="1" applyBorder="1" applyAlignment="1">
      <alignment horizontal="center" vertical="center"/>
    </xf>
    <xf numFmtId="177" fontId="16" fillId="12" borderId="23" xfId="0" applyNumberFormat="1" applyFont="1" applyFill="1" applyBorder="1" applyAlignment="1">
      <alignment horizontal="center"/>
    </xf>
    <xf numFmtId="0" fontId="16" fillId="12" borderId="23" xfId="0" applyFont="1" applyFill="1" applyBorder="1" applyAlignment="1">
      <alignment horizontal="center" vertical="top"/>
    </xf>
    <xf numFmtId="187" fontId="16" fillId="12" borderId="23" xfId="0" applyNumberFormat="1" applyFont="1" applyFill="1" applyBorder="1" applyAlignment="1">
      <alignment horizontal="center"/>
    </xf>
    <xf numFmtId="26" fontId="16" fillId="12" borderId="23" xfId="0" applyNumberFormat="1" applyFont="1" applyFill="1" applyBorder="1" applyAlignment="1">
      <alignment horizontal="center"/>
    </xf>
    <xf numFmtId="178" fontId="16" fillId="12" borderId="33" xfId="0" applyNumberFormat="1" applyFont="1" applyFill="1" applyBorder="1" applyAlignment="1">
      <alignment horizontal="center"/>
    </xf>
    <xf numFmtId="0" fontId="16" fillId="0" borderId="70" xfId="0" applyFont="1" applyBorder="1" applyAlignment="1">
      <alignment horizontal="left" vertical="center"/>
    </xf>
    <xf numFmtId="0" fontId="26" fillId="12" borderId="71" xfId="6" applyFont="1" applyFill="1" applyBorder="1" applyAlignment="1">
      <alignment horizontal="center"/>
    </xf>
    <xf numFmtId="26" fontId="16" fillId="0" borderId="67" xfId="6" applyNumberFormat="1" applyFont="1" applyBorder="1" applyAlignment="1">
      <alignment horizontal="center"/>
    </xf>
    <xf numFmtId="26" fontId="16" fillId="0" borderId="23" xfId="6" applyNumberFormat="1" applyFont="1" applyBorder="1" applyAlignment="1">
      <alignment horizontal="center"/>
    </xf>
    <xf numFmtId="26" fontId="16" fillId="0" borderId="24" xfId="6" applyNumberFormat="1" applyFont="1" applyBorder="1" applyAlignment="1">
      <alignment horizontal="center"/>
    </xf>
    <xf numFmtId="26" fontId="16" fillId="0" borderId="67" xfId="0" applyNumberFormat="1" applyFont="1" applyBorder="1"/>
    <xf numFmtId="14" fontId="16" fillId="0" borderId="23" xfId="0" applyNumberFormat="1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182" fontId="16" fillId="0" borderId="23" xfId="0" applyNumberFormat="1" applyFont="1" applyBorder="1" applyAlignment="1">
      <alignment horizontal="center" vertical="center"/>
    </xf>
    <xf numFmtId="187" fontId="16" fillId="0" borderId="23" xfId="0" applyNumberFormat="1" applyFont="1" applyBorder="1" applyAlignment="1">
      <alignment horizontal="center" vertical="center"/>
    </xf>
    <xf numFmtId="178" fontId="16" fillId="0" borderId="33" xfId="0" applyNumberFormat="1" applyFont="1" applyBorder="1"/>
    <xf numFmtId="0" fontId="16" fillId="0" borderId="71" xfId="0" applyFont="1" applyBorder="1" applyAlignment="1">
      <alignment horizontal="center" vertical="center"/>
    </xf>
    <xf numFmtId="0" fontId="38" fillId="0" borderId="72" xfId="6" applyFont="1" applyBorder="1"/>
    <xf numFmtId="26" fontId="39" fillId="0" borderId="67" xfId="6" applyNumberFormat="1" applyFont="1" applyBorder="1" applyAlignment="1">
      <alignment horizontal="center"/>
    </xf>
    <xf numFmtId="178" fontId="39" fillId="0" borderId="23" xfId="0" applyNumberFormat="1" applyFont="1" applyBorder="1" applyAlignment="1">
      <alignment horizontal="center" vertical="center"/>
    </xf>
    <xf numFmtId="26" fontId="39" fillId="0" borderId="24" xfId="6" applyNumberFormat="1" applyFont="1" applyBorder="1" applyAlignment="1">
      <alignment horizontal="center"/>
    </xf>
    <xf numFmtId="0" fontId="16" fillId="16" borderId="23" xfId="0" applyFont="1" applyFill="1" applyBorder="1"/>
    <xf numFmtId="14" fontId="16" fillId="15" borderId="22" xfId="0" applyNumberFormat="1" applyFont="1" applyFill="1" applyBorder="1" applyAlignment="1">
      <alignment horizontal="center"/>
    </xf>
    <xf numFmtId="0" fontId="16" fillId="15" borderId="23" xfId="0" applyFont="1" applyFill="1" applyBorder="1"/>
    <xf numFmtId="0" fontId="16" fillId="15" borderId="23" xfId="0" applyFont="1" applyFill="1" applyBorder="1" applyAlignment="1">
      <alignment horizontal="center"/>
    </xf>
    <xf numFmtId="0" fontId="38" fillId="15" borderId="23" xfId="6" applyFont="1" applyFill="1" applyBorder="1"/>
    <xf numFmtId="0" fontId="16" fillId="15" borderId="23" xfId="0" applyFont="1" applyFill="1" applyBorder="1" applyAlignment="1">
      <alignment horizontal="center" vertical="center"/>
    </xf>
    <xf numFmtId="182" fontId="16" fillId="15" borderId="23" xfId="0" applyNumberFormat="1" applyFont="1" applyFill="1" applyBorder="1" applyAlignment="1">
      <alignment horizontal="center" vertical="center"/>
    </xf>
    <xf numFmtId="26" fontId="16" fillId="15" borderId="23" xfId="0" applyNumberFormat="1" applyFont="1" applyFill="1" applyBorder="1" applyAlignment="1">
      <alignment horizontal="center" vertical="center"/>
    </xf>
    <xf numFmtId="187" fontId="16" fillId="15" borderId="23" xfId="0" applyNumberFormat="1" applyFont="1" applyFill="1" applyBorder="1" applyAlignment="1">
      <alignment horizontal="center" vertical="center"/>
    </xf>
    <xf numFmtId="178" fontId="16" fillId="15" borderId="33" xfId="0" applyNumberFormat="1" applyFont="1" applyFill="1" applyBorder="1" applyAlignment="1">
      <alignment horizontal="center" vertical="center"/>
    </xf>
    <xf numFmtId="0" fontId="16" fillId="15" borderId="70" xfId="0" applyFont="1" applyFill="1" applyBorder="1"/>
    <xf numFmtId="0" fontId="38" fillId="15" borderId="71" xfId="6" applyFont="1" applyFill="1" applyBorder="1"/>
    <xf numFmtId="178" fontId="39" fillId="15" borderId="67" xfId="0" applyNumberFormat="1" applyFont="1" applyFill="1" applyBorder="1" applyAlignment="1">
      <alignment horizontal="center" vertical="center"/>
    </xf>
    <xf numFmtId="0" fontId="39" fillId="15" borderId="23" xfId="0" applyFont="1" applyFill="1" applyBorder="1"/>
    <xf numFmtId="26" fontId="39" fillId="15" borderId="23" xfId="6" applyNumberFormat="1" applyFont="1" applyFill="1" applyBorder="1" applyAlignment="1">
      <alignment horizontal="center"/>
    </xf>
    <xf numFmtId="26" fontId="39" fillId="15" borderId="73" xfId="6" applyNumberFormat="1" applyFont="1" applyFill="1" applyBorder="1" applyAlignment="1">
      <alignment horizontal="center"/>
    </xf>
    <xf numFmtId="26" fontId="16" fillId="15" borderId="67" xfId="0" applyNumberFormat="1" applyFont="1" applyFill="1" applyBorder="1"/>
    <xf numFmtId="0" fontId="40" fillId="15" borderId="24" xfId="0" applyFont="1" applyFill="1" applyBorder="1"/>
    <xf numFmtId="14" fontId="16" fillId="0" borderId="22" xfId="0" applyNumberFormat="1" applyFont="1" applyBorder="1" applyAlignment="1">
      <alignment horizontal="center"/>
    </xf>
    <xf numFmtId="188" fontId="16" fillId="0" borderId="23" xfId="0" applyNumberFormat="1" applyFont="1" applyBorder="1" applyAlignment="1">
      <alignment horizontal="center" vertical="center"/>
    </xf>
    <xf numFmtId="178" fontId="16" fillId="0" borderId="33" xfId="0" applyNumberFormat="1" applyFont="1" applyBorder="1" applyAlignment="1">
      <alignment horizontal="center" vertical="center"/>
    </xf>
    <xf numFmtId="0" fontId="26" fillId="0" borderId="71" xfId="6" applyFont="1" applyBorder="1"/>
    <xf numFmtId="0" fontId="40" fillId="0" borderId="24" xfId="0" applyFont="1" applyBorder="1"/>
    <xf numFmtId="0" fontId="16" fillId="0" borderId="27" xfId="0" applyFont="1" applyBorder="1" applyAlignment="1">
      <alignment horizontal="left" vertical="center"/>
    </xf>
    <xf numFmtId="49" fontId="20" fillId="0" borderId="25" xfId="0" applyNumberFormat="1" applyFont="1" applyBorder="1" applyAlignment="1">
      <alignment horizontal="center"/>
    </xf>
    <xf numFmtId="0" fontId="26" fillId="0" borderId="0" xfId="6" applyFont="1"/>
    <xf numFmtId="0" fontId="26" fillId="0" borderId="42" xfId="6" applyFont="1" applyBorder="1"/>
    <xf numFmtId="0" fontId="39" fillId="0" borderId="23" xfId="0" applyFont="1" applyBorder="1"/>
    <xf numFmtId="26" fontId="39" fillId="0" borderId="23" xfId="6" applyNumberFormat="1" applyFont="1" applyBorder="1" applyAlignment="1">
      <alignment horizontal="center"/>
    </xf>
    <xf numFmtId="178" fontId="16" fillId="0" borderId="0" xfId="0" applyNumberFormat="1" applyFont="1"/>
    <xf numFmtId="0" fontId="38" fillId="0" borderId="23" xfId="6" applyFont="1" applyBorder="1"/>
    <xf numFmtId="0" fontId="26" fillId="0" borderId="24" xfId="6" applyFont="1" applyBorder="1"/>
    <xf numFmtId="0" fontId="38" fillId="0" borderId="70" xfId="6" applyFont="1" applyBorder="1" applyAlignment="1">
      <alignment horizontal="left"/>
    </xf>
    <xf numFmtId="0" fontId="38" fillId="0" borderId="71" xfId="6" applyFont="1" applyBorder="1"/>
    <xf numFmtId="0" fontId="16" fillId="0" borderId="67" xfId="0" applyFont="1" applyBorder="1" applyAlignment="1">
      <alignment shrinkToFit="1"/>
    </xf>
    <xf numFmtId="26" fontId="16" fillId="0" borderId="24" xfId="6" applyNumberFormat="1" applyFont="1" applyBorder="1" applyAlignment="1">
      <alignment horizontal="center" vertical="center"/>
    </xf>
    <xf numFmtId="0" fontId="26" fillId="0" borderId="70" xfId="6" applyFont="1" applyBorder="1" applyAlignment="1">
      <alignment horizontal="left" vertical="center" shrinkToFit="1"/>
    </xf>
    <xf numFmtId="49" fontId="20" fillId="0" borderId="23" xfId="0" applyNumberFormat="1" applyFont="1" applyBorder="1" applyAlignment="1">
      <alignment horizontal="left"/>
    </xf>
    <xf numFmtId="0" fontId="36" fillId="0" borderId="0" xfId="0" applyFont="1"/>
    <xf numFmtId="186" fontId="16" fillId="15" borderId="22" xfId="0" applyNumberFormat="1" applyFont="1" applyFill="1" applyBorder="1" applyAlignment="1">
      <alignment horizontal="center" vertical="center"/>
    </xf>
    <xf numFmtId="180" fontId="16" fillId="15" borderId="23" xfId="0" applyNumberFormat="1" applyFont="1" applyFill="1" applyBorder="1" applyAlignment="1">
      <alignment horizontal="center"/>
    </xf>
    <xf numFmtId="0" fontId="16" fillId="15" borderId="23" xfId="0" applyFont="1" applyFill="1" applyBorder="1" applyAlignment="1">
      <alignment horizontal="left" vertical="center"/>
    </xf>
    <xf numFmtId="188" fontId="16" fillId="15" borderId="23" xfId="0" applyNumberFormat="1" applyFont="1" applyFill="1" applyBorder="1" applyAlignment="1">
      <alignment horizontal="center" vertical="center"/>
    </xf>
    <xf numFmtId="177" fontId="16" fillId="15" borderId="23" xfId="0" applyNumberFormat="1" applyFont="1" applyFill="1" applyBorder="1" applyAlignment="1">
      <alignment horizontal="center" vertical="center"/>
    </xf>
    <xf numFmtId="178" fontId="16" fillId="15" borderId="23" xfId="0" applyNumberFormat="1" applyFont="1" applyFill="1" applyBorder="1" applyAlignment="1">
      <alignment horizontal="center" vertical="center"/>
    </xf>
    <xf numFmtId="15" fontId="16" fillId="15" borderId="23" xfId="0" applyNumberFormat="1" applyFont="1" applyFill="1" applyBorder="1" applyAlignment="1">
      <alignment horizontal="center"/>
    </xf>
    <xf numFmtId="26" fontId="16" fillId="15" borderId="23" xfId="0" applyNumberFormat="1" applyFont="1" applyFill="1" applyBorder="1" applyAlignment="1">
      <alignment horizontal="center"/>
    </xf>
    <xf numFmtId="178" fontId="16" fillId="15" borderId="33" xfId="0" applyNumberFormat="1" applyFont="1" applyFill="1" applyBorder="1" applyAlignment="1">
      <alignment horizontal="center"/>
    </xf>
    <xf numFmtId="0" fontId="26" fillId="15" borderId="70" xfId="6" applyFont="1" applyFill="1" applyBorder="1" applyAlignment="1">
      <alignment horizontal="left"/>
    </xf>
    <xf numFmtId="0" fontId="38" fillId="15" borderId="71" xfId="6" applyFont="1" applyFill="1" applyBorder="1" applyAlignment="1">
      <alignment horizontal="left" vertical="center"/>
    </xf>
    <xf numFmtId="26" fontId="16" fillId="15" borderId="67" xfId="6" applyNumberFormat="1" applyFont="1" applyFill="1" applyBorder="1" applyAlignment="1">
      <alignment horizontal="center"/>
    </xf>
    <xf numFmtId="26" fontId="16" fillId="15" borderId="23" xfId="6" applyNumberFormat="1" applyFont="1" applyFill="1" applyBorder="1" applyAlignment="1">
      <alignment horizontal="center"/>
    </xf>
    <xf numFmtId="26" fontId="16" fillId="15" borderId="24" xfId="6" applyNumberFormat="1" applyFont="1" applyFill="1" applyBorder="1" applyAlignment="1">
      <alignment horizontal="center" vertical="center"/>
    </xf>
    <xf numFmtId="0" fontId="16" fillId="15" borderId="24" xfId="0" applyFont="1" applyFill="1" applyBorder="1"/>
    <xf numFmtId="187" fontId="16" fillId="0" borderId="23" xfId="0" applyNumberFormat="1" applyFont="1" applyBorder="1" applyAlignment="1">
      <alignment horizontal="center"/>
    </xf>
    <xf numFmtId="0" fontId="38" fillId="0" borderId="41" xfId="6" applyFont="1" applyBorder="1" applyAlignment="1">
      <alignment horizontal="left"/>
    </xf>
    <xf numFmtId="0" fontId="16" fillId="0" borderId="67" xfId="0" applyFont="1" applyBorder="1" applyAlignment="1">
      <alignment horizontal="center" vertical="center"/>
    </xf>
    <xf numFmtId="186" fontId="16" fillId="12" borderId="22" xfId="0" applyNumberFormat="1" applyFont="1" applyFill="1" applyBorder="1" applyAlignment="1">
      <alignment horizontal="center" vertical="center"/>
    </xf>
    <xf numFmtId="178" fontId="16" fillId="12" borderId="23" xfId="0" applyNumberFormat="1" applyFont="1" applyFill="1" applyBorder="1" applyAlignment="1">
      <alignment horizontal="center" vertical="center"/>
    </xf>
    <xf numFmtId="0" fontId="16" fillId="12" borderId="23" xfId="0" applyFont="1" applyFill="1" applyBorder="1" applyAlignment="1">
      <alignment horizontal="center" vertical="center"/>
    </xf>
    <xf numFmtId="187" fontId="16" fillId="12" borderId="23" xfId="0" applyNumberFormat="1" applyFont="1" applyFill="1" applyBorder="1" applyAlignment="1">
      <alignment horizontal="center" vertical="center"/>
    </xf>
    <xf numFmtId="0" fontId="16" fillId="12" borderId="23" xfId="0" applyFont="1" applyFill="1" applyBorder="1"/>
    <xf numFmtId="0" fontId="16" fillId="12" borderId="33" xfId="0" applyFont="1" applyFill="1" applyBorder="1"/>
    <xf numFmtId="0" fontId="38" fillId="12" borderId="74" xfId="6" applyFont="1" applyFill="1" applyBorder="1" applyAlignment="1">
      <alignment horizontal="left"/>
    </xf>
    <xf numFmtId="0" fontId="38" fillId="12" borderId="71" xfId="6" applyFont="1" applyFill="1" applyBorder="1" applyAlignment="1">
      <alignment horizontal="left"/>
    </xf>
    <xf numFmtId="0" fontId="41" fillId="0" borderId="24" xfId="0" applyFont="1" applyBorder="1"/>
    <xf numFmtId="187" fontId="16" fillId="0" borderId="23" xfId="0" applyNumberFormat="1" applyFont="1" applyBorder="1"/>
    <xf numFmtId="0" fontId="26" fillId="0" borderId="74" xfId="6" applyFont="1" applyBorder="1" applyAlignment="1">
      <alignment horizontal="left" vertical="center"/>
    </xf>
    <xf numFmtId="0" fontId="16" fillId="12" borderId="23" xfId="0" applyFont="1" applyFill="1" applyBorder="1" applyAlignment="1">
      <alignment horizontal="left" vertical="center"/>
    </xf>
    <xf numFmtId="0" fontId="26" fillId="0" borderId="75" xfId="6" applyFont="1" applyBorder="1" applyAlignment="1">
      <alignment horizontal="left" vertical="center"/>
    </xf>
    <xf numFmtId="0" fontId="26" fillId="12" borderId="71" xfId="6" applyFont="1" applyFill="1" applyBorder="1" applyAlignment="1">
      <alignment horizontal="left"/>
    </xf>
    <xf numFmtId="14" fontId="19" fillId="0" borderId="47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56" xfId="0" applyFont="1" applyBorder="1" applyAlignment="1">
      <alignment horizontal="left" vertical="center"/>
    </xf>
    <xf numFmtId="0" fontId="16" fillId="0" borderId="56" xfId="0" applyFont="1" applyBorder="1" applyAlignment="1">
      <alignment vertical="center"/>
    </xf>
    <xf numFmtId="182" fontId="16" fillId="0" borderId="56" xfId="0" applyNumberFormat="1" applyFont="1" applyBorder="1" applyAlignment="1">
      <alignment horizontal="center" vertical="center"/>
    </xf>
    <xf numFmtId="187" fontId="16" fillId="0" borderId="56" xfId="0" applyNumberFormat="1" applyFont="1" applyBorder="1" applyAlignment="1">
      <alignment horizontal="center" vertical="center"/>
    </xf>
    <xf numFmtId="0" fontId="16" fillId="13" borderId="56" xfId="0" applyFont="1" applyFill="1" applyBorder="1" applyAlignment="1">
      <alignment horizontal="center"/>
    </xf>
    <xf numFmtId="0" fontId="16" fillId="0" borderId="64" xfId="0" applyFont="1" applyBorder="1"/>
    <xf numFmtId="0" fontId="38" fillId="0" borderId="49" xfId="6" applyFont="1" applyBorder="1" applyAlignment="1">
      <alignment horizontal="left"/>
    </xf>
    <xf numFmtId="0" fontId="38" fillId="0" borderId="76" xfId="6" applyFont="1" applyBorder="1" applyAlignment="1">
      <alignment horizontal="left"/>
    </xf>
    <xf numFmtId="26" fontId="16" fillId="0" borderId="65" xfId="6" applyNumberFormat="1" applyFont="1" applyBorder="1" applyAlignment="1">
      <alignment horizontal="center"/>
    </xf>
    <xf numFmtId="26" fontId="16" fillId="0" borderId="56" xfId="6" applyNumberFormat="1" applyFont="1" applyBorder="1" applyAlignment="1">
      <alignment horizontal="center"/>
    </xf>
    <xf numFmtId="26" fontId="16" fillId="0" borderId="48" xfId="6" applyNumberFormat="1" applyFont="1" applyBorder="1" applyAlignment="1">
      <alignment horizontal="center"/>
    </xf>
    <xf numFmtId="26" fontId="16" fillId="0" borderId="65" xfId="0" applyNumberFormat="1" applyFont="1" applyBorder="1"/>
    <xf numFmtId="0" fontId="16" fillId="0" borderId="48" xfId="0" applyFont="1" applyBorder="1"/>
    <xf numFmtId="186" fontId="0" fillId="0" borderId="0" xfId="0" applyNumberFormat="1"/>
    <xf numFmtId="0" fontId="0" fillId="0" borderId="0" xfId="0" applyAlignment="1">
      <alignment vertical="top"/>
    </xf>
    <xf numFmtId="187" fontId="0" fillId="0" borderId="0" xfId="0" applyNumberFormat="1"/>
    <xf numFmtId="26" fontId="16" fillId="0" borderId="0" xfId="0" applyNumberFormat="1" applyFont="1"/>
    <xf numFmtId="186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42" fillId="0" borderId="0" xfId="0" applyFont="1"/>
    <xf numFmtId="178" fontId="17" fillId="0" borderId="59" xfId="0" applyNumberFormat="1" applyFont="1" applyBorder="1" applyAlignment="1">
      <alignment horizontal="center"/>
    </xf>
    <xf numFmtId="0" fontId="21" fillId="10" borderId="0" xfId="0" applyFont="1" applyFill="1"/>
    <xf numFmtId="0" fontId="17" fillId="3" borderId="1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180" fontId="18" fillId="3" borderId="2" xfId="0" applyNumberFormat="1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178" fontId="18" fillId="3" borderId="2" xfId="0" applyNumberFormat="1" applyFont="1" applyFill="1" applyBorder="1" applyAlignment="1">
      <alignment horizontal="center"/>
    </xf>
    <xf numFmtId="181" fontId="17" fillId="3" borderId="2" xfId="0" applyNumberFormat="1" applyFont="1" applyFill="1" applyBorder="1" applyAlignment="1">
      <alignment horizontal="center"/>
    </xf>
    <xf numFmtId="187" fontId="17" fillId="3" borderId="2" xfId="0" applyNumberFormat="1" applyFont="1" applyFill="1" applyBorder="1" applyAlignment="1">
      <alignment horizontal="center"/>
    </xf>
    <xf numFmtId="26" fontId="17" fillId="3" borderId="2" xfId="0" applyNumberFormat="1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178" fontId="17" fillId="3" borderId="2" xfId="0" applyNumberFormat="1" applyFont="1" applyFill="1" applyBorder="1" applyAlignment="1">
      <alignment horizontal="center"/>
    </xf>
    <xf numFmtId="178" fontId="17" fillId="3" borderId="39" xfId="0" applyNumberFormat="1" applyFont="1" applyFill="1" applyBorder="1" applyAlignment="1">
      <alignment horizontal="center"/>
    </xf>
    <xf numFmtId="178" fontId="17" fillId="3" borderId="40" xfId="0" applyNumberFormat="1" applyFont="1" applyFill="1" applyBorder="1" applyAlignment="1">
      <alignment horizontal="center"/>
    </xf>
    <xf numFmtId="178" fontId="0" fillId="0" borderId="68" xfId="0" applyNumberFormat="1" applyBorder="1"/>
    <xf numFmtId="0" fontId="4" fillId="11" borderId="23" xfId="0" applyFont="1" applyFill="1" applyBorder="1" applyAlignment="1">
      <alignment horizontal="center"/>
    </xf>
    <xf numFmtId="0" fontId="16" fillId="0" borderId="53" xfId="0" applyFont="1" applyBorder="1"/>
    <xf numFmtId="0" fontId="16" fillId="0" borderId="54" xfId="0" applyFont="1" applyBorder="1"/>
    <xf numFmtId="178" fontId="16" fillId="0" borderId="54" xfId="0" applyNumberFormat="1" applyFont="1" applyBorder="1"/>
    <xf numFmtId="187" fontId="16" fillId="0" borderId="54" xfId="0" applyNumberFormat="1" applyFont="1" applyBorder="1"/>
    <xf numFmtId="0" fontId="16" fillId="0" borderId="54" xfId="0" applyFont="1" applyBorder="1" applyAlignment="1">
      <alignment horizontal="center"/>
    </xf>
    <xf numFmtId="178" fontId="16" fillId="0" borderId="58" xfId="0" applyNumberFormat="1" applyFont="1" applyBorder="1"/>
    <xf numFmtId="0" fontId="16" fillId="0" borderId="61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178" fontId="16" fillId="0" borderId="53" xfId="0" applyNumberFormat="1" applyFont="1" applyBorder="1"/>
    <xf numFmtId="178" fontId="39" fillId="0" borderId="54" xfId="0" applyNumberFormat="1" applyFont="1" applyBorder="1" applyAlignment="1">
      <alignment horizontal="center" vertical="center"/>
    </xf>
    <xf numFmtId="178" fontId="16" fillId="0" borderId="59" xfId="0" applyNumberFormat="1" applyFont="1" applyBorder="1"/>
    <xf numFmtId="0" fontId="16" fillId="0" borderId="71" xfId="0" applyFont="1" applyBorder="1"/>
    <xf numFmtId="26" fontId="39" fillId="0" borderId="22" xfId="6" applyNumberFormat="1" applyFont="1" applyBorder="1" applyAlignment="1">
      <alignment horizontal="center"/>
    </xf>
    <xf numFmtId="178" fontId="16" fillId="0" borderId="33" xfId="0" applyNumberFormat="1" applyFont="1" applyBorder="1" applyAlignment="1">
      <alignment horizontal="center"/>
    </xf>
    <xf numFmtId="178" fontId="16" fillId="0" borderId="22" xfId="0" applyNumberFormat="1" applyFont="1" applyBorder="1"/>
    <xf numFmtId="178" fontId="39" fillId="0" borderId="24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top"/>
    </xf>
    <xf numFmtId="0" fontId="38" fillId="0" borderId="78" xfId="6" applyFont="1" applyBorder="1"/>
    <xf numFmtId="14" fontId="16" fillId="0" borderId="23" xfId="0" applyNumberFormat="1" applyFont="1" applyBorder="1"/>
    <xf numFmtId="0" fontId="38" fillId="0" borderId="79" xfId="6" applyFont="1" applyBorder="1"/>
    <xf numFmtId="0" fontId="26" fillId="0" borderId="71" xfId="6" applyFont="1" applyBorder="1" applyAlignment="1">
      <alignment horizontal="left"/>
    </xf>
    <xf numFmtId="0" fontId="26" fillId="0" borderId="71" xfId="6" applyFont="1" applyBorder="1" applyAlignment="1">
      <alignment horizontal="left" vertical="center" shrinkToFit="1"/>
    </xf>
    <xf numFmtId="0" fontId="16" fillId="13" borderId="23" xfId="0" applyFont="1" applyFill="1" applyBorder="1" applyAlignment="1">
      <alignment horizontal="center" vertical="center"/>
    </xf>
    <xf numFmtId="0" fontId="26" fillId="0" borderId="71" xfId="6" applyFont="1" applyBorder="1" applyAlignment="1">
      <alignment horizontal="left" vertical="center"/>
    </xf>
    <xf numFmtId="178" fontId="39" fillId="0" borderId="22" xfId="0" applyNumberFormat="1" applyFont="1" applyBorder="1" applyAlignment="1">
      <alignment horizontal="center" vertical="center"/>
    </xf>
    <xf numFmtId="178" fontId="26" fillId="0" borderId="23" xfId="6" applyNumberFormat="1" applyFont="1" applyBorder="1" applyAlignment="1">
      <alignment horizontal="center"/>
    </xf>
    <xf numFmtId="0" fontId="38" fillId="0" borderId="71" xfId="6" applyFont="1" applyBorder="1" applyAlignment="1">
      <alignment horizontal="left" vertical="center"/>
    </xf>
    <xf numFmtId="178" fontId="16" fillId="0" borderId="80" xfId="0" applyNumberFormat="1" applyFont="1" applyBorder="1" applyAlignment="1">
      <alignment horizontal="center" vertical="center"/>
    </xf>
    <xf numFmtId="177" fontId="16" fillId="0" borderId="80" xfId="0" applyNumberFormat="1" applyFont="1" applyBorder="1" applyAlignment="1">
      <alignment horizontal="center" vertical="center"/>
    </xf>
    <xf numFmtId="26" fontId="16" fillId="0" borderId="80" xfId="0" applyNumberFormat="1" applyFont="1" applyBorder="1" applyAlignment="1">
      <alignment horizontal="center"/>
    </xf>
    <xf numFmtId="26" fontId="16" fillId="0" borderId="56" xfId="0" applyNumberFormat="1" applyFont="1" applyBorder="1" applyAlignment="1">
      <alignment horizontal="center" vertical="center"/>
    </xf>
    <xf numFmtId="178" fontId="16" fillId="0" borderId="64" xfId="0" applyNumberFormat="1" applyFont="1" applyBorder="1" applyAlignment="1">
      <alignment vertical="center"/>
    </xf>
    <xf numFmtId="0" fontId="38" fillId="0" borderId="76" xfId="6" applyFont="1" applyBorder="1" applyAlignment="1">
      <alignment horizontal="left" vertical="center"/>
    </xf>
    <xf numFmtId="178" fontId="39" fillId="0" borderId="47" xfId="0" applyNumberFormat="1" applyFont="1" applyBorder="1" applyAlignment="1">
      <alignment horizontal="center" vertical="center"/>
    </xf>
    <xf numFmtId="178" fontId="39" fillId="0" borderId="56" xfId="0" applyNumberFormat="1" applyFont="1" applyBorder="1" applyAlignment="1">
      <alignment horizontal="center" vertical="center"/>
    </xf>
    <xf numFmtId="178" fontId="39" fillId="0" borderId="48" xfId="0" applyNumberFormat="1" applyFont="1" applyBorder="1" applyAlignment="1">
      <alignment horizontal="center" vertical="center"/>
    </xf>
    <xf numFmtId="0" fontId="36" fillId="12" borderId="0" xfId="0" applyFont="1" applyFill="1"/>
    <xf numFmtId="178" fontId="42" fillId="0" borderId="0" xfId="0" applyNumberFormat="1" applyFont="1"/>
    <xf numFmtId="187" fontId="42" fillId="0" borderId="0" xfId="0" applyNumberFormat="1" applyFont="1"/>
    <xf numFmtId="0" fontId="42" fillId="0" borderId="0" xfId="0" applyFont="1" applyAlignment="1">
      <alignment horizontal="center" vertical="center"/>
    </xf>
    <xf numFmtId="26" fontId="42" fillId="0" borderId="0" xfId="0" applyNumberFormat="1" applyFont="1"/>
    <xf numFmtId="0" fontId="10" fillId="0" borderId="0" xfId="0" applyFont="1"/>
    <xf numFmtId="0" fontId="0" fillId="0" borderId="0" xfId="0" applyAlignment="1">
      <alignment vertical="center"/>
    </xf>
    <xf numFmtId="186" fontId="17" fillId="0" borderId="53" xfId="0" applyNumberFormat="1" applyFont="1" applyBorder="1" applyAlignment="1">
      <alignment horizontal="center" vertical="center"/>
    </xf>
    <xf numFmtId="178" fontId="17" fillId="0" borderId="39" xfId="0" applyNumberFormat="1" applyFont="1" applyBorder="1" applyAlignment="1">
      <alignment horizontal="center"/>
    </xf>
    <xf numFmtId="0" fontId="17" fillId="8" borderId="40" xfId="0" applyFont="1" applyFill="1" applyBorder="1" applyAlignment="1">
      <alignment horizontal="center"/>
    </xf>
    <xf numFmtId="186" fontId="17" fillId="3" borderId="43" xfId="0" applyNumberFormat="1" applyFont="1" applyFill="1" applyBorder="1" applyAlignment="1">
      <alignment horizontal="center" vertical="center"/>
    </xf>
    <xf numFmtId="0" fontId="17" fillId="3" borderId="55" xfId="0" applyFont="1" applyFill="1" applyBorder="1" applyAlignment="1">
      <alignment horizontal="center"/>
    </xf>
    <xf numFmtId="180" fontId="18" fillId="3" borderId="55" xfId="0" applyNumberFormat="1" applyFont="1" applyFill="1" applyBorder="1" applyAlignment="1">
      <alignment horizontal="center"/>
    </xf>
    <xf numFmtId="0" fontId="18" fillId="3" borderId="55" xfId="0" applyFont="1" applyFill="1" applyBorder="1" applyAlignment="1">
      <alignment horizontal="center" vertical="center"/>
    </xf>
    <xf numFmtId="0" fontId="18" fillId="3" borderId="55" xfId="0" applyFont="1" applyFill="1" applyBorder="1" applyAlignment="1">
      <alignment horizontal="center"/>
    </xf>
    <xf numFmtId="180" fontId="17" fillId="3" borderId="55" xfId="0" applyNumberFormat="1" applyFont="1" applyFill="1" applyBorder="1" applyAlignment="1">
      <alignment horizontal="center"/>
    </xf>
    <xf numFmtId="178" fontId="17" fillId="3" borderId="55" xfId="0" applyNumberFormat="1" applyFont="1" applyFill="1" applyBorder="1" applyAlignment="1">
      <alignment horizontal="center"/>
    </xf>
    <xf numFmtId="180" fontId="17" fillId="3" borderId="62" xfId="0" applyNumberFormat="1" applyFont="1" applyFill="1" applyBorder="1" applyAlignment="1">
      <alignment horizontal="center"/>
    </xf>
    <xf numFmtId="0" fontId="16" fillId="8" borderId="55" xfId="0" applyFont="1" applyFill="1" applyBorder="1" applyAlignment="1">
      <alignment horizontal="center"/>
    </xf>
    <xf numFmtId="178" fontId="17" fillId="9" borderId="52" xfId="0" applyNumberFormat="1" applyFont="1" applyFill="1" applyBorder="1" applyAlignment="1">
      <alignment horizontal="center"/>
    </xf>
    <xf numFmtId="178" fontId="17" fillId="9" borderId="55" xfId="0" applyNumberFormat="1" applyFont="1" applyFill="1" applyBorder="1" applyAlignment="1">
      <alignment horizontal="center"/>
    </xf>
    <xf numFmtId="178" fontId="17" fillId="9" borderId="44" xfId="0" applyNumberFormat="1" applyFont="1" applyFill="1" applyBorder="1" applyAlignment="1">
      <alignment horizontal="center"/>
    </xf>
    <xf numFmtId="14" fontId="43" fillId="8" borderId="22" xfId="0" applyNumberFormat="1" applyFont="1" applyFill="1" applyBorder="1" applyAlignment="1">
      <alignment horizontal="center" vertical="center"/>
    </xf>
    <xf numFmtId="0" fontId="43" fillId="8" borderId="23" xfId="0" applyFont="1" applyFill="1" applyBorder="1" applyAlignment="1">
      <alignment horizontal="left" vertical="center"/>
    </xf>
    <xf numFmtId="0" fontId="10" fillId="8" borderId="23" xfId="0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left" vertical="center"/>
    </xf>
    <xf numFmtId="0" fontId="10" fillId="8" borderId="23" xfId="0" applyFont="1" applyFill="1" applyBorder="1" applyAlignment="1">
      <alignment vertical="center"/>
    </xf>
    <xf numFmtId="178" fontId="10" fillId="8" borderId="23" xfId="0" applyNumberFormat="1" applyFont="1" applyFill="1" applyBorder="1" applyAlignment="1">
      <alignment horizontal="center" vertical="center"/>
    </xf>
    <xf numFmtId="182" fontId="10" fillId="8" borderId="23" xfId="0" applyNumberFormat="1" applyFont="1" applyFill="1" applyBorder="1" applyAlignment="1">
      <alignment horizontal="center" vertical="center"/>
    </xf>
    <xf numFmtId="26" fontId="10" fillId="8" borderId="23" xfId="0" applyNumberFormat="1" applyFont="1" applyFill="1" applyBorder="1" applyAlignment="1">
      <alignment horizontal="center"/>
    </xf>
    <xf numFmtId="0" fontId="43" fillId="8" borderId="23" xfId="0" applyFont="1" applyFill="1" applyBorder="1" applyAlignment="1">
      <alignment horizontal="center" vertical="center"/>
    </xf>
    <xf numFmtId="187" fontId="10" fillId="8" borderId="23" xfId="0" applyNumberFormat="1" applyFont="1" applyFill="1" applyBorder="1" applyAlignment="1">
      <alignment horizontal="center" vertical="center"/>
    </xf>
    <xf numFmtId="26" fontId="10" fillId="8" borderId="23" xfId="0" applyNumberFormat="1" applyFont="1" applyFill="1" applyBorder="1" applyAlignment="1">
      <alignment horizontal="center" vertical="center"/>
    </xf>
    <xf numFmtId="187" fontId="10" fillId="8" borderId="23" xfId="0" applyNumberFormat="1" applyFont="1" applyFill="1" applyBorder="1" applyAlignment="1">
      <alignment horizontal="center"/>
    </xf>
    <xf numFmtId="15" fontId="10" fillId="8" borderId="23" xfId="0" applyNumberFormat="1" applyFont="1" applyFill="1" applyBorder="1" applyAlignment="1">
      <alignment horizontal="center"/>
    </xf>
    <xf numFmtId="0" fontId="10" fillId="8" borderId="23" xfId="0" applyFont="1" applyFill="1" applyBorder="1" applyAlignment="1">
      <alignment horizontal="center"/>
    </xf>
    <xf numFmtId="0" fontId="10" fillId="8" borderId="33" xfId="0" applyFont="1" applyFill="1" applyBorder="1" applyAlignment="1">
      <alignment vertical="center"/>
    </xf>
    <xf numFmtId="0" fontId="44" fillId="8" borderId="23" xfId="6" applyFont="1" applyFill="1" applyBorder="1" applyAlignment="1">
      <alignment horizontal="center" vertical="center"/>
    </xf>
    <xf numFmtId="0" fontId="45" fillId="8" borderId="67" xfId="0" applyFont="1" applyFill="1" applyBorder="1"/>
    <xf numFmtId="26" fontId="45" fillId="8" borderId="23" xfId="6" applyNumberFormat="1" applyFont="1" applyFill="1" applyBorder="1" applyAlignment="1">
      <alignment horizontal="center"/>
    </xf>
    <xf numFmtId="26" fontId="45" fillId="8" borderId="24" xfId="6" applyNumberFormat="1" applyFont="1" applyFill="1" applyBorder="1" applyAlignment="1">
      <alignment horizontal="center"/>
    </xf>
    <xf numFmtId="186" fontId="10" fillId="0" borderId="22" xfId="0" applyNumberFormat="1" applyFont="1" applyBorder="1" applyAlignment="1">
      <alignment horizontal="center" vertical="center"/>
    </xf>
    <xf numFmtId="0" fontId="10" fillId="0" borderId="23" xfId="0" applyFont="1" applyBorder="1"/>
    <xf numFmtId="0" fontId="10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/>
    </xf>
    <xf numFmtId="0" fontId="10" fillId="0" borderId="23" xfId="0" applyFont="1" applyBorder="1" applyAlignment="1">
      <alignment vertical="center"/>
    </xf>
    <xf numFmtId="178" fontId="10" fillId="0" borderId="23" xfId="0" applyNumberFormat="1" applyFont="1" applyBorder="1"/>
    <xf numFmtId="0" fontId="10" fillId="0" borderId="33" xfId="0" applyFont="1" applyBorder="1"/>
    <xf numFmtId="26" fontId="45" fillId="0" borderId="67" xfId="6" applyNumberFormat="1" applyFont="1" applyBorder="1" applyAlignment="1">
      <alignment horizontal="center"/>
    </xf>
    <xf numFmtId="0" fontId="45" fillId="0" borderId="23" xfId="0" applyFont="1" applyBorder="1"/>
    <xf numFmtId="178" fontId="45" fillId="0" borderId="23" xfId="0" applyNumberFormat="1" applyFont="1" applyBorder="1" applyAlignment="1">
      <alignment horizontal="center" vertical="center"/>
    </xf>
    <xf numFmtId="26" fontId="45" fillId="0" borderId="23" xfId="6" applyNumberFormat="1" applyFont="1" applyBorder="1" applyAlignment="1">
      <alignment horizontal="center"/>
    </xf>
    <xf numFmtId="26" fontId="45" fillId="0" borderId="24" xfId="6" applyNumberFormat="1" applyFont="1" applyBorder="1" applyAlignment="1">
      <alignment horizontal="center"/>
    </xf>
    <xf numFmtId="14" fontId="36" fillId="0" borderId="67" xfId="0" applyNumberFormat="1" applyFont="1" applyBorder="1" applyAlignment="1">
      <alignment horizontal="center"/>
    </xf>
    <xf numFmtId="0" fontId="36" fillId="0" borderId="23" xfId="0" applyFont="1" applyBorder="1"/>
    <xf numFmtId="0" fontId="36" fillId="0" borderId="23" xfId="0" applyFont="1" applyBorder="1" applyAlignment="1">
      <alignment horizontal="center"/>
    </xf>
    <xf numFmtId="178" fontId="36" fillId="0" borderId="23" xfId="0" applyNumberFormat="1" applyFont="1" applyBorder="1" applyAlignment="1">
      <alignment horizontal="center" vertical="center"/>
    </xf>
    <xf numFmtId="182" fontId="36" fillId="0" borderId="23" xfId="0" applyNumberFormat="1" applyFont="1" applyBorder="1" applyAlignment="1">
      <alignment horizontal="center" vertical="center"/>
    </xf>
    <xf numFmtId="26" fontId="36" fillId="0" borderId="23" xfId="0" applyNumberFormat="1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187" fontId="36" fillId="0" borderId="23" xfId="0" applyNumberFormat="1" applyFont="1" applyBorder="1" applyAlignment="1">
      <alignment horizontal="center" vertical="center"/>
    </xf>
    <xf numFmtId="0" fontId="25" fillId="0" borderId="0" xfId="6"/>
    <xf numFmtId="14" fontId="10" fillId="0" borderId="22" xfId="0" applyNumberFormat="1" applyFont="1" applyBorder="1" applyAlignment="1">
      <alignment horizontal="center"/>
    </xf>
    <xf numFmtId="0" fontId="46" fillId="0" borderId="23" xfId="0" applyFont="1" applyBorder="1"/>
    <xf numFmtId="178" fontId="10" fillId="0" borderId="23" xfId="0" applyNumberFormat="1" applyFont="1" applyBorder="1" applyAlignment="1">
      <alignment horizontal="center" vertical="center"/>
    </xf>
    <xf numFmtId="182" fontId="10" fillId="0" borderId="23" xfId="0" applyNumberFormat="1" applyFont="1" applyBorder="1" applyAlignment="1">
      <alignment horizontal="center" vertical="center"/>
    </xf>
    <xf numFmtId="26" fontId="10" fillId="0" borderId="23" xfId="0" applyNumberFormat="1" applyFont="1" applyBorder="1" applyAlignment="1">
      <alignment horizontal="center" vertical="center"/>
    </xf>
    <xf numFmtId="187" fontId="10" fillId="0" borderId="23" xfId="0" applyNumberFormat="1" applyFont="1" applyBorder="1" applyAlignment="1">
      <alignment horizontal="center" vertical="center"/>
    </xf>
    <xf numFmtId="178" fontId="10" fillId="0" borderId="23" xfId="0" applyNumberFormat="1" applyFont="1" applyBorder="1" applyAlignment="1">
      <alignment horizontal="center"/>
    </xf>
    <xf numFmtId="0" fontId="47" fillId="0" borderId="33" xfId="6" applyFont="1" applyBorder="1"/>
    <xf numFmtId="0" fontId="10" fillId="0" borderId="23" xfId="0" applyFont="1" applyBorder="1" applyAlignment="1">
      <alignment horizontal="left"/>
    </xf>
    <xf numFmtId="180" fontId="10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48" fillId="0" borderId="23" xfId="0" applyFont="1" applyBorder="1" applyAlignment="1">
      <alignment horizontal="center"/>
    </xf>
    <xf numFmtId="26" fontId="10" fillId="0" borderId="23" xfId="0" applyNumberFormat="1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47" fillId="0" borderId="23" xfId="6" applyFont="1" applyBorder="1"/>
    <xf numFmtId="178" fontId="14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shrinkToFit="1"/>
    </xf>
    <xf numFmtId="26" fontId="45" fillId="0" borderId="0" xfId="6" applyNumberFormat="1" applyFont="1" applyAlignment="1">
      <alignment horizontal="center"/>
    </xf>
    <xf numFmtId="0" fontId="10" fillId="0" borderId="23" xfId="0" applyFont="1" applyBorder="1" applyAlignment="1">
      <alignment wrapText="1"/>
    </xf>
    <xf numFmtId="188" fontId="10" fillId="0" borderId="23" xfId="0" applyNumberFormat="1" applyFont="1" applyBorder="1" applyAlignment="1">
      <alignment horizontal="center" vertical="center"/>
    </xf>
    <xf numFmtId="180" fontId="10" fillId="0" borderId="23" xfId="0" applyNumberFormat="1" applyFont="1" applyBorder="1" applyAlignment="1">
      <alignment horizontal="center"/>
    </xf>
    <xf numFmtId="187" fontId="10" fillId="0" borderId="23" xfId="0" applyNumberFormat="1" applyFont="1" applyBorder="1" applyAlignment="1">
      <alignment horizontal="center"/>
    </xf>
    <xf numFmtId="0" fontId="10" fillId="0" borderId="33" xfId="0" applyFont="1" applyBorder="1" applyAlignment="1">
      <alignment horizontal="left" vertical="center"/>
    </xf>
    <xf numFmtId="14" fontId="10" fillId="15" borderId="22" xfId="0" applyNumberFormat="1" applyFont="1" applyFill="1" applyBorder="1" applyAlignment="1">
      <alignment horizontal="center"/>
    </xf>
    <xf numFmtId="0" fontId="46" fillId="15" borderId="23" xfId="0" applyFont="1" applyFill="1" applyBorder="1"/>
    <xf numFmtId="0" fontId="10" fillId="15" borderId="23" xfId="0" applyFont="1" applyFill="1" applyBorder="1" applyAlignment="1">
      <alignment horizontal="center"/>
    </xf>
    <xf numFmtId="0" fontId="10" fillId="15" borderId="23" xfId="0" applyFont="1" applyFill="1" applyBorder="1"/>
    <xf numFmtId="178" fontId="10" fillId="15" borderId="23" xfId="0" applyNumberFormat="1" applyFont="1" applyFill="1" applyBorder="1" applyAlignment="1">
      <alignment horizontal="center" vertical="center"/>
    </xf>
    <xf numFmtId="188" fontId="10" fillId="15" borderId="23" xfId="0" applyNumberFormat="1" applyFont="1" applyFill="1" applyBorder="1" applyAlignment="1">
      <alignment horizontal="center" vertical="center"/>
    </xf>
    <xf numFmtId="182" fontId="10" fillId="15" borderId="23" xfId="0" applyNumberFormat="1" applyFont="1" applyFill="1" applyBorder="1" applyAlignment="1">
      <alignment horizontal="center" vertical="center"/>
    </xf>
    <xf numFmtId="26" fontId="10" fillId="17" borderId="23" xfId="0" applyNumberFormat="1" applyFont="1" applyFill="1" applyBorder="1" applyAlignment="1">
      <alignment horizontal="center" vertical="center"/>
    </xf>
    <xf numFmtId="0" fontId="10" fillId="15" borderId="23" xfId="0" applyFont="1" applyFill="1" applyBorder="1" applyAlignment="1">
      <alignment horizontal="center" vertical="center"/>
    </xf>
    <xf numFmtId="187" fontId="10" fillId="15" borderId="23" xfId="0" applyNumberFormat="1" applyFont="1" applyFill="1" applyBorder="1" applyAlignment="1">
      <alignment horizontal="center" vertical="center"/>
    </xf>
    <xf numFmtId="26" fontId="10" fillId="15" borderId="23" xfId="0" applyNumberFormat="1" applyFont="1" applyFill="1" applyBorder="1" applyAlignment="1">
      <alignment horizontal="center" vertical="center"/>
    </xf>
    <xf numFmtId="178" fontId="10" fillId="18" borderId="23" xfId="0" applyNumberFormat="1" applyFont="1" applyFill="1" applyBorder="1" applyAlignment="1">
      <alignment horizontal="center" vertical="center"/>
    </xf>
    <xf numFmtId="0" fontId="47" fillId="15" borderId="33" xfId="6" applyFont="1" applyFill="1" applyBorder="1"/>
    <xf numFmtId="0" fontId="25" fillId="19" borderId="0" xfId="6" applyFill="1"/>
    <xf numFmtId="26" fontId="45" fillId="15" borderId="67" xfId="6" applyNumberFormat="1" applyFont="1" applyFill="1" applyBorder="1" applyAlignment="1">
      <alignment horizontal="center"/>
    </xf>
    <xf numFmtId="0" fontId="45" fillId="15" borderId="23" xfId="0" applyFont="1" applyFill="1" applyBorder="1"/>
    <xf numFmtId="178" fontId="45" fillId="15" borderId="23" xfId="0" applyNumberFormat="1" applyFont="1" applyFill="1" applyBorder="1" applyAlignment="1">
      <alignment horizontal="center" vertical="center"/>
    </xf>
    <xf numFmtId="26" fontId="45" fillId="15" borderId="23" xfId="6" applyNumberFormat="1" applyFont="1" applyFill="1" applyBorder="1" applyAlignment="1">
      <alignment horizontal="center"/>
    </xf>
    <xf numFmtId="26" fontId="45" fillId="14" borderId="24" xfId="6" applyNumberFormat="1" applyFont="1" applyFill="1" applyBorder="1" applyAlignment="1">
      <alignment horizontal="center"/>
    </xf>
    <xf numFmtId="0" fontId="10" fillId="0" borderId="33" xfId="0" applyFont="1" applyBorder="1" applyAlignment="1">
      <alignment horizontal="center" vertical="center"/>
    </xf>
    <xf numFmtId="0" fontId="44" fillId="0" borderId="23" xfId="6" applyFont="1" applyBorder="1"/>
    <xf numFmtId="26" fontId="45" fillId="0" borderId="66" xfId="6" applyNumberFormat="1" applyFont="1" applyBorder="1" applyAlignment="1">
      <alignment horizontal="center"/>
    </xf>
    <xf numFmtId="178" fontId="45" fillId="0" borderId="16" xfId="0" applyNumberFormat="1" applyFont="1" applyBorder="1" applyAlignment="1">
      <alignment horizontal="center" vertical="center"/>
    </xf>
    <xf numFmtId="26" fontId="45" fillId="0" borderId="18" xfId="6" applyNumberFormat="1" applyFont="1" applyBorder="1" applyAlignment="1">
      <alignment horizontal="center"/>
    </xf>
    <xf numFmtId="26" fontId="10" fillId="0" borderId="0" xfId="0" applyNumberFormat="1" applyFont="1"/>
    <xf numFmtId="0" fontId="49" fillId="0" borderId="0" xfId="0" applyFont="1"/>
    <xf numFmtId="14" fontId="10" fillId="20" borderId="22" xfId="0" applyNumberFormat="1" applyFont="1" applyFill="1" applyBorder="1" applyAlignment="1">
      <alignment horizontal="center"/>
    </xf>
    <xf numFmtId="0" fontId="10" fillId="20" borderId="23" xfId="0" applyFont="1" applyFill="1" applyBorder="1"/>
    <xf numFmtId="0" fontId="10" fillId="20" borderId="23" xfId="0" applyFont="1" applyFill="1" applyBorder="1" applyAlignment="1">
      <alignment horizontal="center"/>
    </xf>
    <xf numFmtId="178" fontId="10" fillId="20" borderId="23" xfId="0" applyNumberFormat="1" applyFont="1" applyFill="1" applyBorder="1" applyAlignment="1">
      <alignment horizontal="center" vertical="center"/>
    </xf>
    <xf numFmtId="178" fontId="10" fillId="17" borderId="23" xfId="0" applyNumberFormat="1" applyFont="1" applyFill="1" applyBorder="1" applyAlignment="1">
      <alignment horizontal="center" vertical="center"/>
    </xf>
    <xf numFmtId="182" fontId="10" fillId="20" borderId="23" xfId="0" applyNumberFormat="1" applyFont="1" applyFill="1" applyBorder="1" applyAlignment="1">
      <alignment horizontal="center" vertical="center"/>
    </xf>
    <xf numFmtId="26" fontId="10" fillId="20" borderId="23" xfId="0" applyNumberFormat="1" applyFont="1" applyFill="1" applyBorder="1" applyAlignment="1">
      <alignment horizontal="center" vertical="center"/>
    </xf>
    <xf numFmtId="0" fontId="10" fillId="20" borderId="23" xfId="0" applyFont="1" applyFill="1" applyBorder="1" applyAlignment="1">
      <alignment horizontal="center" vertical="center"/>
    </xf>
    <xf numFmtId="187" fontId="10" fillId="20" borderId="23" xfId="0" applyNumberFormat="1" applyFont="1" applyFill="1" applyBorder="1" applyAlignment="1">
      <alignment horizontal="center" vertical="center"/>
    </xf>
    <xf numFmtId="0" fontId="10" fillId="20" borderId="33" xfId="0" applyFont="1" applyFill="1" applyBorder="1"/>
    <xf numFmtId="0" fontId="50" fillId="19" borderId="23" xfId="6" applyFont="1" applyFill="1" applyBorder="1"/>
    <xf numFmtId="26" fontId="45" fillId="15" borderId="24" xfId="6" applyNumberFormat="1" applyFont="1" applyFill="1" applyBorder="1" applyAlignment="1">
      <alignment horizontal="center"/>
    </xf>
    <xf numFmtId="14" fontId="10" fillId="15" borderId="23" xfId="0" applyNumberFormat="1" applyFont="1" applyFill="1" applyBorder="1"/>
    <xf numFmtId="0" fontId="10" fillId="15" borderId="33" xfId="0" applyFont="1" applyFill="1" applyBorder="1"/>
    <xf numFmtId="0" fontId="25" fillId="19" borderId="23" xfId="6" applyFill="1" applyBorder="1"/>
    <xf numFmtId="178" fontId="10" fillId="0" borderId="0" xfId="0" applyNumberFormat="1" applyFont="1"/>
    <xf numFmtId="14" fontId="10" fillId="0" borderId="22" xfId="0" applyNumberFormat="1" applyFont="1" applyBorder="1" applyAlignment="1">
      <alignment horizontal="center" vertical="center"/>
    </xf>
    <xf numFmtId="0" fontId="44" fillId="0" borderId="33" xfId="6" applyFont="1" applyBorder="1"/>
    <xf numFmtId="0" fontId="44" fillId="0" borderId="23" xfId="6" applyFont="1" applyBorder="1" applyAlignment="1">
      <alignment horizontal="left" shrinkToFit="1"/>
    </xf>
    <xf numFmtId="0" fontId="44" fillId="15" borderId="33" xfId="6" applyFont="1" applyFill="1" applyBorder="1" applyAlignment="1">
      <alignment horizontal="center" vertical="center"/>
    </xf>
    <xf numFmtId="0" fontId="47" fillId="15" borderId="33" xfId="6" applyFont="1" applyFill="1" applyBorder="1" applyAlignment="1">
      <alignment horizontal="center" vertical="center"/>
    </xf>
    <xf numFmtId="0" fontId="44" fillId="20" borderId="33" xfId="6" applyFont="1" applyFill="1" applyBorder="1"/>
    <xf numFmtId="0" fontId="44" fillId="19" borderId="23" xfId="6" applyFont="1" applyFill="1" applyBorder="1"/>
    <xf numFmtId="0" fontId="44" fillId="0" borderId="24" xfId="6" applyFont="1" applyBorder="1"/>
    <xf numFmtId="0" fontId="10" fillId="12" borderId="23" xfId="0" applyFont="1" applyFill="1" applyBorder="1" applyAlignment="1">
      <alignment horizontal="center"/>
    </xf>
    <xf numFmtId="178" fontId="10" fillId="0" borderId="33" xfId="0" applyNumberFormat="1" applyFont="1" applyBorder="1"/>
    <xf numFmtId="0" fontId="10" fillId="0" borderId="41" xfId="0" applyFont="1" applyBorder="1" applyAlignment="1">
      <alignment horizontal="left"/>
    </xf>
    <xf numFmtId="26" fontId="10" fillId="0" borderId="67" xfId="6" applyNumberFormat="1" applyFont="1" applyBorder="1" applyAlignment="1">
      <alignment horizontal="center"/>
    </xf>
    <xf numFmtId="26" fontId="10" fillId="0" borderId="23" xfId="6" applyNumberFormat="1" applyFont="1" applyBorder="1" applyAlignment="1">
      <alignment horizontal="center"/>
    </xf>
    <xf numFmtId="26" fontId="10" fillId="0" borderId="24" xfId="6" applyNumberFormat="1" applyFont="1" applyBorder="1" applyAlignment="1">
      <alignment horizontal="center" vertical="center"/>
    </xf>
    <xf numFmtId="0" fontId="51" fillId="0" borderId="27" xfId="0" applyFont="1" applyBorder="1" applyAlignment="1">
      <alignment horizontal="left" vertical="center"/>
    </xf>
    <xf numFmtId="49" fontId="51" fillId="0" borderId="25" xfId="0" applyNumberFormat="1" applyFont="1" applyBorder="1" applyAlignment="1">
      <alignment horizontal="left"/>
    </xf>
    <xf numFmtId="0" fontId="47" fillId="0" borderId="0" xfId="6" applyFont="1"/>
    <xf numFmtId="0" fontId="51" fillId="0" borderId="23" xfId="0" applyFont="1" applyBorder="1" applyAlignment="1">
      <alignment horizontal="left" vertical="center"/>
    </xf>
    <xf numFmtId="0" fontId="44" fillId="0" borderId="0" xfId="6" applyFont="1"/>
    <xf numFmtId="187" fontId="51" fillId="0" borderId="23" xfId="0" applyNumberFormat="1" applyFont="1" applyBorder="1" applyAlignment="1">
      <alignment horizontal="center" vertical="center"/>
    </xf>
    <xf numFmtId="182" fontId="10" fillId="12" borderId="23" xfId="0" applyNumberFormat="1" applyFont="1" applyFill="1" applyBorder="1" applyAlignment="1">
      <alignment horizontal="center" vertical="center"/>
    </xf>
    <xf numFmtId="0" fontId="10" fillId="0" borderId="23" xfId="0" applyFont="1" applyBorder="1" applyAlignment="1">
      <alignment horizontal="left" shrinkToFit="1"/>
    </xf>
    <xf numFmtId="49" fontId="51" fillId="0" borderId="23" xfId="0" applyNumberFormat="1" applyFont="1" applyBorder="1" applyAlignment="1">
      <alignment horizontal="left"/>
    </xf>
    <xf numFmtId="24" fontId="51" fillId="0" borderId="23" xfId="0" applyNumberFormat="1" applyFont="1" applyBorder="1" applyAlignment="1">
      <alignment horizontal="center"/>
    </xf>
    <xf numFmtId="0" fontId="47" fillId="15" borderId="23" xfId="6" applyFont="1" applyFill="1" applyBorder="1" applyAlignment="1">
      <alignment horizontal="left" shrinkToFit="1"/>
    </xf>
    <xf numFmtId="0" fontId="10" fillId="15" borderId="33" xfId="0" applyFont="1" applyFill="1" applyBorder="1" applyAlignment="1">
      <alignment horizontal="left" vertical="center"/>
    </xf>
    <xf numFmtId="180" fontId="8" fillId="0" borderId="23" xfId="0" applyNumberFormat="1" applyFont="1" applyBorder="1" applyAlignment="1">
      <alignment horizontal="center" vertical="center"/>
    </xf>
    <xf numFmtId="0" fontId="52" fillId="0" borderId="23" xfId="0" applyFont="1" applyBorder="1" applyAlignment="1">
      <alignment horizontal="center"/>
    </xf>
    <xf numFmtId="0" fontId="47" fillId="0" borderId="23" xfId="6" applyFont="1" applyBorder="1" applyAlignment="1">
      <alignment horizontal="left"/>
    </xf>
    <xf numFmtId="187" fontId="8" fillId="0" borderId="23" xfId="0" applyNumberFormat="1" applyFont="1" applyBorder="1" applyAlignment="1">
      <alignment horizontal="center" vertical="center"/>
    </xf>
    <xf numFmtId="180" fontId="8" fillId="0" borderId="23" xfId="0" applyNumberFormat="1" applyFont="1" applyBorder="1" applyAlignment="1">
      <alignment horizontal="center"/>
    </xf>
    <xf numFmtId="0" fontId="8" fillId="13" borderId="23" xfId="0" applyFont="1" applyFill="1" applyBorder="1" applyAlignment="1">
      <alignment horizontal="center" vertical="center"/>
    </xf>
    <xf numFmtId="178" fontId="8" fillId="0" borderId="23" xfId="0" applyNumberFormat="1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186" fontId="10" fillId="12" borderId="22" xfId="0" applyNumberFormat="1" applyFont="1" applyFill="1" applyBorder="1" applyAlignment="1">
      <alignment horizontal="center" vertical="center"/>
    </xf>
    <xf numFmtId="180" fontId="10" fillId="12" borderId="23" xfId="0" applyNumberFormat="1" applyFont="1" applyFill="1" applyBorder="1" applyAlignment="1">
      <alignment horizontal="center" vertical="center"/>
    </xf>
    <xf numFmtId="0" fontId="10" fillId="12" borderId="23" xfId="0" applyFont="1" applyFill="1" applyBorder="1" applyAlignment="1">
      <alignment horizontal="left" vertical="center"/>
    </xf>
    <xf numFmtId="0" fontId="10" fillId="12" borderId="23" xfId="0" applyFont="1" applyFill="1" applyBorder="1" applyAlignment="1">
      <alignment horizontal="center" vertical="center"/>
    </xf>
    <xf numFmtId="0" fontId="47" fillId="12" borderId="23" xfId="6" applyFont="1" applyFill="1" applyBorder="1" applyAlignment="1">
      <alignment horizontal="left" vertical="center"/>
    </xf>
    <xf numFmtId="177" fontId="10" fillId="12" borderId="23" xfId="0" applyNumberFormat="1" applyFont="1" applyFill="1" applyBorder="1" applyAlignment="1">
      <alignment horizontal="center" vertical="center"/>
    </xf>
    <xf numFmtId="26" fontId="10" fillId="12" borderId="23" xfId="0" applyNumberFormat="1" applyFont="1" applyFill="1" applyBorder="1" applyAlignment="1">
      <alignment horizontal="center" vertical="center"/>
    </xf>
    <xf numFmtId="15" fontId="10" fillId="12" borderId="23" xfId="0" applyNumberFormat="1" applyFont="1" applyFill="1" applyBorder="1" applyAlignment="1">
      <alignment horizontal="center" vertical="center"/>
    </xf>
    <xf numFmtId="178" fontId="10" fillId="12" borderId="23" xfId="0" applyNumberFormat="1" applyFont="1" applyFill="1" applyBorder="1" applyAlignment="1">
      <alignment horizontal="center" vertical="center"/>
    </xf>
    <xf numFmtId="14" fontId="43" fillId="0" borderId="22" xfId="0" applyNumberFormat="1" applyFont="1" applyBorder="1" applyAlignment="1">
      <alignment horizontal="center" vertical="center"/>
    </xf>
    <xf numFmtId="0" fontId="43" fillId="0" borderId="23" xfId="0" applyFont="1" applyBorder="1" applyAlignment="1">
      <alignment horizontal="left" vertical="center"/>
    </xf>
    <xf numFmtId="26" fontId="44" fillId="0" borderId="23" xfId="6" applyNumberFormat="1" applyFont="1" applyBorder="1" applyAlignment="1">
      <alignment horizontal="left"/>
    </xf>
    <xf numFmtId="177" fontId="10" fillId="0" borderId="23" xfId="0" applyNumberFormat="1" applyFont="1" applyBorder="1" applyAlignment="1">
      <alignment horizontal="center"/>
    </xf>
    <xf numFmtId="180" fontId="10" fillId="12" borderId="23" xfId="0" applyNumberFormat="1" applyFont="1" applyFill="1" applyBorder="1" applyAlignment="1">
      <alignment horizontal="center"/>
    </xf>
    <xf numFmtId="15" fontId="10" fillId="0" borderId="23" xfId="0" applyNumberFormat="1" applyFont="1" applyBorder="1" applyAlignment="1">
      <alignment horizontal="center"/>
    </xf>
    <xf numFmtId="0" fontId="8" fillId="13" borderId="23" xfId="0" applyFont="1" applyFill="1" applyBorder="1" applyAlignment="1">
      <alignment horizontal="center"/>
    </xf>
    <xf numFmtId="178" fontId="10" fillId="0" borderId="23" xfId="0" applyNumberFormat="1" applyFont="1" applyBorder="1" applyAlignment="1">
      <alignment vertical="center"/>
    </xf>
    <xf numFmtId="0" fontId="47" fillId="0" borderId="33" xfId="6" applyFont="1" applyBorder="1" applyAlignment="1">
      <alignment horizontal="left" vertical="center"/>
    </xf>
    <xf numFmtId="186" fontId="10" fillId="0" borderId="22" xfId="0" applyNumberFormat="1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left"/>
    </xf>
    <xf numFmtId="180" fontId="10" fillId="0" borderId="23" xfId="0" applyNumberFormat="1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47" fillId="0" borderId="23" xfId="6" applyFont="1" applyFill="1" applyBorder="1" applyAlignment="1">
      <alignment horizontal="left"/>
    </xf>
    <xf numFmtId="178" fontId="10" fillId="0" borderId="23" xfId="0" applyNumberFormat="1" applyFont="1" applyFill="1" applyBorder="1" applyAlignment="1">
      <alignment horizontal="center" vertical="center"/>
    </xf>
    <xf numFmtId="177" fontId="10" fillId="0" borderId="23" xfId="0" applyNumberFormat="1" applyFont="1" applyFill="1" applyBorder="1" applyAlignment="1">
      <alignment horizontal="center" vertical="center"/>
    </xf>
    <xf numFmtId="178" fontId="10" fillId="0" borderId="23" xfId="0" applyNumberFormat="1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 vertical="center"/>
    </xf>
    <xf numFmtId="187" fontId="10" fillId="0" borderId="23" xfId="0" applyNumberFormat="1" applyFont="1" applyFill="1" applyBorder="1" applyAlignment="1">
      <alignment horizontal="center" vertical="center"/>
    </xf>
    <xf numFmtId="26" fontId="10" fillId="0" borderId="23" xfId="0" applyNumberFormat="1" applyFont="1" applyFill="1" applyBorder="1" applyAlignment="1">
      <alignment horizontal="center"/>
    </xf>
    <xf numFmtId="186" fontId="43" fillId="0" borderId="47" xfId="0" applyNumberFormat="1" applyFont="1" applyBorder="1" applyAlignment="1">
      <alignment horizontal="center" vertical="center"/>
    </xf>
    <xf numFmtId="0" fontId="43" fillId="0" borderId="56" xfId="0" applyFont="1" applyBorder="1" applyAlignment="1">
      <alignment horizontal="left" vertical="center"/>
    </xf>
    <xf numFmtId="0" fontId="10" fillId="0" borderId="56" xfId="0" applyFont="1" applyBorder="1" applyAlignment="1">
      <alignment horizontal="center" vertical="center"/>
    </xf>
    <xf numFmtId="0" fontId="10" fillId="0" borderId="56" xfId="0" applyFont="1" applyBorder="1" applyAlignment="1">
      <alignment horizontal="left" vertical="center"/>
    </xf>
    <xf numFmtId="0" fontId="10" fillId="0" borderId="56" xfId="0" applyFont="1" applyBorder="1" applyAlignment="1">
      <alignment vertical="center"/>
    </xf>
    <xf numFmtId="0" fontId="44" fillId="0" borderId="48" xfId="6" applyFont="1" applyBorder="1" applyAlignment="1">
      <alignment horizontal="left" vertical="center"/>
    </xf>
    <xf numFmtId="178" fontId="10" fillId="21" borderId="56" xfId="0" applyNumberFormat="1" applyFont="1" applyFill="1" applyBorder="1" applyAlignment="1">
      <alignment horizontal="center" vertical="center"/>
    </xf>
    <xf numFmtId="177" fontId="10" fillId="0" borderId="56" xfId="0" applyNumberFormat="1" applyFont="1" applyBorder="1" applyAlignment="1">
      <alignment horizontal="center" vertical="center"/>
    </xf>
    <xf numFmtId="26" fontId="10" fillId="0" borderId="56" xfId="0" applyNumberFormat="1" applyFont="1" applyBorder="1" applyAlignment="1">
      <alignment horizontal="center"/>
    </xf>
    <xf numFmtId="0" fontId="43" fillId="0" borderId="56" xfId="0" applyFont="1" applyBorder="1" applyAlignment="1">
      <alignment horizontal="center" vertical="center"/>
    </xf>
    <xf numFmtId="187" fontId="10" fillId="0" borderId="56" xfId="0" applyNumberFormat="1" applyFont="1" applyBorder="1" applyAlignment="1">
      <alignment horizontal="center" vertical="center"/>
    </xf>
    <xf numFmtId="26" fontId="10" fillId="0" borderId="56" xfId="0" applyNumberFormat="1" applyFont="1" applyBorder="1" applyAlignment="1">
      <alignment horizontal="center" vertical="center"/>
    </xf>
    <xf numFmtId="15" fontId="10" fillId="0" borderId="56" xfId="0" applyNumberFormat="1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178" fontId="10" fillId="0" borderId="56" xfId="0" applyNumberFormat="1" applyFont="1" applyBorder="1" applyAlignment="1">
      <alignment horizontal="center" vertical="center"/>
    </xf>
    <xf numFmtId="0" fontId="10" fillId="0" borderId="64" xfId="0" applyFont="1" applyBorder="1" applyAlignment="1">
      <alignment vertical="center"/>
    </xf>
    <xf numFmtId="0" fontId="44" fillId="0" borderId="56" xfId="6" applyFont="1" applyBorder="1" applyAlignment="1">
      <alignment horizontal="left" vertical="center"/>
    </xf>
    <xf numFmtId="26" fontId="45" fillId="0" borderId="65" xfId="6" applyNumberFormat="1" applyFont="1" applyBorder="1" applyAlignment="1">
      <alignment horizontal="center"/>
    </xf>
    <xf numFmtId="0" fontId="45" fillId="0" borderId="56" xfId="0" applyFont="1" applyBorder="1"/>
    <xf numFmtId="178" fontId="45" fillId="0" borderId="56" xfId="0" applyNumberFormat="1" applyFont="1" applyBorder="1" applyAlignment="1">
      <alignment horizontal="center" vertical="center"/>
    </xf>
    <xf numFmtId="26" fontId="45" fillId="0" borderId="56" xfId="6" applyNumberFormat="1" applyFont="1" applyBorder="1" applyAlignment="1">
      <alignment horizontal="center"/>
    </xf>
    <xf numFmtId="26" fontId="45" fillId="0" borderId="48" xfId="6" applyNumberFormat="1" applyFont="1" applyBorder="1" applyAlignment="1">
      <alignment horizontal="center"/>
    </xf>
    <xf numFmtId="18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80" fontId="10" fillId="0" borderId="0" xfId="0" applyNumberFormat="1" applyFont="1"/>
    <xf numFmtId="189" fontId="0" fillId="0" borderId="0" xfId="0" applyNumberFormat="1"/>
    <xf numFmtId="0" fontId="46" fillId="0" borderId="0" xfId="0" applyFont="1" applyAlignment="1">
      <alignment horizontal="center"/>
    </xf>
    <xf numFmtId="0" fontId="53" fillId="0" borderId="0" xfId="0" applyFont="1" applyAlignment="1">
      <alignment horizontal="center" vertical="center"/>
    </xf>
    <xf numFmtId="0" fontId="53" fillId="0" borderId="0" xfId="0" applyFont="1"/>
    <xf numFmtId="0" fontId="53" fillId="0" borderId="0" xfId="0" applyFont="1" applyAlignment="1">
      <alignment horizontal="center"/>
    </xf>
    <xf numFmtId="187" fontId="53" fillId="0" borderId="0" xfId="0" applyNumberFormat="1" applyFont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54" fillId="0" borderId="23" xfId="0" applyFont="1" applyBorder="1" applyAlignment="1">
      <alignment horizontal="center" vertical="center"/>
    </xf>
    <xf numFmtId="0" fontId="54" fillId="0" borderId="23" xfId="0" applyFont="1" applyBorder="1" applyAlignment="1">
      <alignment horizontal="center"/>
    </xf>
    <xf numFmtId="187" fontId="54" fillId="0" borderId="23" xfId="0" applyNumberFormat="1" applyFont="1" applyBorder="1" applyAlignment="1">
      <alignment horizontal="center" vertical="center"/>
    </xf>
    <xf numFmtId="0" fontId="54" fillId="8" borderId="23" xfId="0" applyFont="1" applyFill="1" applyBorder="1" applyAlignment="1">
      <alignment horizontal="center"/>
    </xf>
    <xf numFmtId="0" fontId="54" fillId="9" borderId="23" xfId="0" applyFont="1" applyFill="1" applyBorder="1" applyAlignment="1">
      <alignment horizontal="center"/>
    </xf>
    <xf numFmtId="180" fontId="54" fillId="9" borderId="23" xfId="0" applyNumberFormat="1" applyFont="1" applyFill="1" applyBorder="1" applyAlignment="1">
      <alignment horizontal="center"/>
    </xf>
    <xf numFmtId="0" fontId="54" fillId="9" borderId="8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5" fillId="3" borderId="23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180" fontId="56" fillId="3" borderId="23" xfId="0" applyNumberFormat="1" applyFont="1" applyFill="1" applyBorder="1" applyAlignment="1">
      <alignment horizontal="center" vertical="center"/>
    </xf>
    <xf numFmtId="0" fontId="56" fillId="3" borderId="23" xfId="0" applyFont="1" applyFill="1" applyBorder="1" applyAlignment="1">
      <alignment horizontal="center" vertical="center"/>
    </xf>
    <xf numFmtId="0" fontId="56" fillId="3" borderId="23" xfId="0" applyFont="1" applyFill="1" applyBorder="1" applyAlignment="1">
      <alignment horizontal="center"/>
    </xf>
    <xf numFmtId="0" fontId="54" fillId="3" borderId="23" xfId="0" applyFont="1" applyFill="1" applyBorder="1" applyAlignment="1">
      <alignment horizontal="center"/>
    </xf>
    <xf numFmtId="181" fontId="54" fillId="3" borderId="23" xfId="0" applyNumberFormat="1" applyFont="1" applyFill="1" applyBorder="1" applyAlignment="1">
      <alignment horizontal="center"/>
    </xf>
    <xf numFmtId="187" fontId="54" fillId="3" borderId="23" xfId="0" applyNumberFormat="1" applyFont="1" applyFill="1" applyBorder="1" applyAlignment="1">
      <alignment horizontal="center" vertical="center"/>
    </xf>
    <xf numFmtId="178" fontId="54" fillId="3" borderId="23" xfId="0" applyNumberFormat="1" applyFont="1" applyFill="1" applyBorder="1" applyAlignment="1">
      <alignment horizontal="center"/>
    </xf>
    <xf numFmtId="180" fontId="54" fillId="3" borderId="23" xfId="0" applyNumberFormat="1" applyFont="1" applyFill="1" applyBorder="1" applyAlignment="1">
      <alignment horizontal="center"/>
    </xf>
    <xf numFmtId="0" fontId="53" fillId="8" borderId="23" xfId="0" applyFont="1" applyFill="1" applyBorder="1" applyAlignment="1">
      <alignment horizontal="center"/>
    </xf>
    <xf numFmtId="178" fontId="54" fillId="9" borderId="23" xfId="0" applyNumberFormat="1" applyFont="1" applyFill="1" applyBorder="1" applyAlignment="1">
      <alignment horizontal="center"/>
    </xf>
    <xf numFmtId="178" fontId="54" fillId="9" borderId="81" xfId="0" applyNumberFormat="1" applyFont="1" applyFill="1" applyBorder="1" applyAlignment="1">
      <alignment horizontal="center"/>
    </xf>
    <xf numFmtId="0" fontId="57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180" fontId="53" fillId="0" borderId="23" xfId="0" applyNumberFormat="1" applyFont="1" applyBorder="1" applyAlignment="1">
      <alignment horizontal="center" vertical="center"/>
    </xf>
    <xf numFmtId="0" fontId="58" fillId="0" borderId="23" xfId="0" applyFont="1" applyBorder="1" applyAlignment="1">
      <alignment horizontal="center" vertical="center"/>
    </xf>
    <xf numFmtId="0" fontId="58" fillId="0" borderId="23" xfId="0" applyFont="1" applyBorder="1" applyAlignment="1">
      <alignment horizontal="center"/>
    </xf>
    <xf numFmtId="0" fontId="53" fillId="0" borderId="23" xfId="0" applyFont="1" applyBorder="1" applyAlignment="1">
      <alignment horizontal="center"/>
    </xf>
    <xf numFmtId="181" fontId="53" fillId="0" borderId="23" xfId="0" applyNumberFormat="1" applyFont="1" applyBorder="1" applyAlignment="1">
      <alignment horizontal="center"/>
    </xf>
    <xf numFmtId="187" fontId="53" fillId="0" borderId="23" xfId="0" applyNumberFormat="1" applyFont="1" applyBorder="1" applyAlignment="1">
      <alignment horizontal="center" vertical="center"/>
    </xf>
    <xf numFmtId="178" fontId="53" fillId="0" borderId="23" xfId="0" applyNumberFormat="1" applyFont="1" applyBorder="1" applyAlignment="1">
      <alignment horizontal="center"/>
    </xf>
    <xf numFmtId="180" fontId="53" fillId="0" borderId="23" xfId="0" applyNumberFormat="1" applyFont="1" applyBorder="1" applyAlignment="1">
      <alignment horizontal="center"/>
    </xf>
    <xf numFmtId="178" fontId="59" fillId="0" borderId="23" xfId="6" applyNumberFormat="1" applyFont="1" applyBorder="1" applyAlignment="1">
      <alignment horizontal="center"/>
    </xf>
    <xf numFmtId="178" fontId="59" fillId="0" borderId="81" xfId="6" applyNumberFormat="1" applyFont="1" applyBorder="1" applyAlignment="1">
      <alignment horizontal="center"/>
    </xf>
    <xf numFmtId="14" fontId="57" fillId="2" borderId="23" xfId="0" applyNumberFormat="1" applyFont="1" applyFill="1" applyBorder="1" applyAlignment="1">
      <alignment horizontal="center"/>
    </xf>
    <xf numFmtId="0" fontId="4" fillId="2" borderId="23" xfId="0" applyFont="1" applyFill="1" applyBorder="1" applyAlignment="1">
      <alignment horizontal="left"/>
    </xf>
    <xf numFmtId="180" fontId="53" fillId="2" borderId="23" xfId="0" applyNumberFormat="1" applyFont="1" applyFill="1" applyBorder="1" applyAlignment="1">
      <alignment horizontal="center" vertical="center"/>
    </xf>
    <xf numFmtId="0" fontId="53" fillId="2" borderId="23" xfId="0" applyFont="1" applyFill="1" applyBorder="1" applyAlignment="1">
      <alignment horizontal="center" vertical="center"/>
    </xf>
    <xf numFmtId="0" fontId="58" fillId="2" borderId="23" xfId="0" applyFont="1" applyFill="1" applyBorder="1" applyAlignment="1">
      <alignment horizontal="center"/>
    </xf>
    <xf numFmtId="26" fontId="53" fillId="2" borderId="23" xfId="0" applyNumberFormat="1" applyFont="1" applyFill="1" applyBorder="1" applyAlignment="1">
      <alignment horizontal="center"/>
    </xf>
    <xf numFmtId="182" fontId="60" fillId="2" borderId="23" xfId="0" applyNumberFormat="1" applyFont="1" applyFill="1" applyBorder="1" applyAlignment="1">
      <alignment horizontal="center" vertical="center"/>
    </xf>
    <xf numFmtId="26" fontId="53" fillId="2" borderId="23" xfId="0" applyNumberFormat="1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187" fontId="53" fillId="2" borderId="23" xfId="0" applyNumberFormat="1" applyFont="1" applyFill="1" applyBorder="1" applyAlignment="1">
      <alignment horizontal="center" vertical="center"/>
    </xf>
    <xf numFmtId="180" fontId="53" fillId="2" borderId="23" xfId="0" applyNumberFormat="1" applyFont="1" applyFill="1" applyBorder="1" applyAlignment="1">
      <alignment horizontal="center"/>
    </xf>
    <xf numFmtId="0" fontId="54" fillId="2" borderId="23" xfId="0" applyFont="1" applyFill="1" applyBorder="1" applyAlignment="1">
      <alignment horizontal="center" vertical="center"/>
    </xf>
    <xf numFmtId="180" fontId="54" fillId="2" borderId="23" xfId="0" applyNumberFormat="1" applyFont="1" applyFill="1" applyBorder="1" applyAlignment="1">
      <alignment horizontal="center"/>
    </xf>
    <xf numFmtId="0" fontId="25" fillId="2" borderId="23" xfId="6" applyFill="1" applyBorder="1"/>
    <xf numFmtId="0" fontId="53" fillId="2" borderId="23" xfId="0" applyFont="1" applyFill="1" applyBorder="1" applyAlignment="1">
      <alignment horizontal="center"/>
    </xf>
    <xf numFmtId="178" fontId="59" fillId="2" borderId="23" xfId="6" applyNumberFormat="1" applyFont="1" applyFill="1" applyBorder="1" applyAlignment="1">
      <alignment horizontal="center"/>
    </xf>
    <xf numFmtId="189" fontId="59" fillId="2" borderId="81" xfId="6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3" fillId="2" borderId="0" xfId="0" applyFont="1" applyFill="1"/>
    <xf numFmtId="0" fontId="53" fillId="2" borderId="23" xfId="0" applyFont="1" applyFill="1" applyBorder="1"/>
    <xf numFmtId="0" fontId="0" fillId="2" borderId="0" xfId="0" applyFill="1" applyAlignment="1">
      <alignment horizontal="center" vertical="center"/>
    </xf>
    <xf numFmtId="0" fontId="50" fillId="2" borderId="23" xfId="6" applyFont="1" applyFill="1" applyBorder="1"/>
    <xf numFmtId="0" fontId="4" fillId="2" borderId="23" xfId="0" applyFont="1" applyFill="1" applyBorder="1"/>
    <xf numFmtId="0" fontId="56" fillId="2" borderId="23" xfId="0" applyFont="1" applyFill="1" applyBorder="1" applyAlignment="1">
      <alignment horizontal="center"/>
    </xf>
    <xf numFmtId="0" fontId="25" fillId="2" borderId="23" xfId="6" applyFill="1" applyBorder="1" applyAlignment="1">
      <alignment horizontal="left"/>
    </xf>
    <xf numFmtId="0" fontId="61" fillId="2" borderId="23" xfId="6" applyFont="1" applyFill="1" applyBorder="1" applyAlignment="1">
      <alignment horizontal="left"/>
    </xf>
    <xf numFmtId="14" fontId="57" fillId="20" borderId="23" xfId="0" applyNumberFormat="1" applyFont="1" applyFill="1" applyBorder="1" applyAlignment="1">
      <alignment horizontal="center"/>
    </xf>
    <xf numFmtId="0" fontId="4" fillId="20" borderId="23" xfId="0" applyFont="1" applyFill="1" applyBorder="1"/>
    <xf numFmtId="0" fontId="53" fillId="20" borderId="23" xfId="0" applyFont="1" applyFill="1" applyBorder="1" applyAlignment="1">
      <alignment horizontal="center" vertical="center"/>
    </xf>
    <xf numFmtId="0" fontId="53" fillId="20" borderId="23" xfId="0" applyFont="1" applyFill="1" applyBorder="1"/>
    <xf numFmtId="178" fontId="53" fillId="20" borderId="23" xfId="0" applyNumberFormat="1" applyFont="1" applyFill="1" applyBorder="1" applyAlignment="1">
      <alignment horizontal="center" vertical="center"/>
    </xf>
    <xf numFmtId="182" fontId="53" fillId="20" borderId="23" xfId="0" applyNumberFormat="1" applyFont="1" applyFill="1" applyBorder="1" applyAlignment="1">
      <alignment horizontal="center" vertical="center"/>
    </xf>
    <xf numFmtId="187" fontId="53" fillId="20" borderId="23" xfId="0" applyNumberFormat="1" applyFont="1" applyFill="1" applyBorder="1" applyAlignment="1">
      <alignment horizontal="center" vertical="center"/>
    </xf>
    <xf numFmtId="0" fontId="54" fillId="20" borderId="23" xfId="0" applyFont="1" applyFill="1" applyBorder="1" applyAlignment="1">
      <alignment horizontal="center" vertical="center"/>
    </xf>
    <xf numFmtId="0" fontId="25" fillId="20" borderId="23" xfId="6" applyFill="1" applyBorder="1" applyAlignment="1">
      <alignment horizontal="left" vertical="center"/>
    </xf>
    <xf numFmtId="178" fontId="59" fillId="20" borderId="23" xfId="6" applyNumberFormat="1" applyFont="1" applyFill="1" applyBorder="1" applyAlignment="1">
      <alignment horizontal="center"/>
    </xf>
    <xf numFmtId="178" fontId="59" fillId="20" borderId="81" xfId="6" applyNumberFormat="1" applyFont="1" applyFill="1" applyBorder="1" applyAlignment="1">
      <alignment horizontal="center"/>
    </xf>
    <xf numFmtId="14" fontId="62" fillId="2" borderId="23" xfId="0" applyNumberFormat="1" applyFont="1" applyFill="1" applyBorder="1" applyAlignment="1">
      <alignment horizontal="center" vertical="center"/>
    </xf>
    <xf numFmtId="0" fontId="63" fillId="2" borderId="23" xfId="0" applyFont="1" applyFill="1" applyBorder="1" applyAlignment="1">
      <alignment horizontal="left" vertical="center"/>
    </xf>
    <xf numFmtId="0" fontId="53" fillId="2" borderId="23" xfId="0" applyFont="1" applyFill="1" applyBorder="1" applyAlignment="1">
      <alignment vertical="center"/>
    </xf>
    <xf numFmtId="26" fontId="64" fillId="2" borderId="23" xfId="0" applyNumberFormat="1" applyFont="1" applyFill="1" applyBorder="1" applyAlignment="1">
      <alignment horizontal="center" vertical="center"/>
    </xf>
    <xf numFmtId="177" fontId="60" fillId="2" borderId="23" xfId="0" applyNumberFormat="1" applyFont="1" applyFill="1" applyBorder="1" applyAlignment="1">
      <alignment horizontal="center" vertical="center"/>
    </xf>
    <xf numFmtId="26" fontId="53" fillId="2" borderId="23" xfId="0" applyNumberFormat="1" applyFont="1" applyFill="1" applyBorder="1" applyAlignment="1">
      <alignment vertical="center"/>
    </xf>
    <xf numFmtId="15" fontId="53" fillId="2" borderId="23" xfId="0" applyNumberFormat="1" applyFont="1" applyFill="1" applyBorder="1" applyAlignment="1">
      <alignment horizontal="center"/>
    </xf>
    <xf numFmtId="0" fontId="54" fillId="2" borderId="82" xfId="0" applyFont="1" applyFill="1" applyBorder="1" applyAlignment="1">
      <alignment horizontal="center"/>
    </xf>
    <xf numFmtId="0" fontId="59" fillId="2" borderId="23" xfId="6" applyFont="1" applyFill="1" applyBorder="1" applyAlignment="1">
      <alignment horizontal="left" vertical="center"/>
    </xf>
    <xf numFmtId="177" fontId="60" fillId="2" borderId="23" xfId="0" applyNumberFormat="1" applyFont="1" applyFill="1" applyBorder="1" applyAlignment="1">
      <alignment horizontal="center"/>
    </xf>
    <xf numFmtId="0" fontId="54" fillId="2" borderId="23" xfId="0" applyFont="1" applyFill="1" applyBorder="1" applyAlignment="1">
      <alignment horizontal="center"/>
    </xf>
    <xf numFmtId="0" fontId="25" fillId="2" borderId="0" xfId="6" applyFill="1"/>
    <xf numFmtId="14" fontId="62" fillId="20" borderId="82" xfId="0" applyNumberFormat="1" applyFont="1" applyFill="1" applyBorder="1" applyAlignment="1">
      <alignment horizontal="center" vertical="center"/>
    </xf>
    <xf numFmtId="0" fontId="63" fillId="20" borderId="82" xfId="0" applyFont="1" applyFill="1" applyBorder="1" applyAlignment="1">
      <alignment horizontal="left" vertical="center"/>
    </xf>
    <xf numFmtId="0" fontId="53" fillId="20" borderId="82" xfId="0" applyFont="1" applyFill="1" applyBorder="1" applyAlignment="1">
      <alignment horizontal="center" vertical="center"/>
    </xf>
    <xf numFmtId="0" fontId="53" fillId="20" borderId="82" xfId="0" applyFont="1" applyFill="1" applyBorder="1" applyAlignment="1">
      <alignment vertical="center"/>
    </xf>
    <xf numFmtId="178" fontId="64" fillId="20" borderId="82" xfId="0" applyNumberFormat="1" applyFont="1" applyFill="1" applyBorder="1" applyAlignment="1">
      <alignment horizontal="center" vertical="center"/>
    </xf>
    <xf numFmtId="177" fontId="65" fillId="20" borderId="82" xfId="0" applyNumberFormat="1" applyFont="1" applyFill="1" applyBorder="1" applyAlignment="1">
      <alignment horizontal="center" vertical="center"/>
    </xf>
    <xf numFmtId="26" fontId="53" fillId="20" borderId="82" xfId="0" applyNumberFormat="1" applyFont="1" applyFill="1" applyBorder="1" applyAlignment="1">
      <alignment horizontal="center"/>
    </xf>
    <xf numFmtId="0" fontId="66" fillId="20" borderId="82" xfId="0" applyFont="1" applyFill="1" applyBorder="1" applyAlignment="1">
      <alignment horizontal="center" vertical="center"/>
    </xf>
    <xf numFmtId="187" fontId="53" fillId="20" borderId="82" xfId="0" applyNumberFormat="1" applyFont="1" applyFill="1" applyBorder="1" applyAlignment="1">
      <alignment horizontal="center" vertical="center"/>
    </xf>
    <xf numFmtId="26" fontId="53" fillId="20" borderId="82" xfId="0" applyNumberFormat="1" applyFont="1" applyFill="1" applyBorder="1" applyAlignment="1">
      <alignment horizontal="center" vertical="center"/>
    </xf>
    <xf numFmtId="15" fontId="53" fillId="20" borderId="82" xfId="0" applyNumberFormat="1" applyFont="1" applyFill="1" applyBorder="1" applyAlignment="1">
      <alignment horizontal="center"/>
    </xf>
    <xf numFmtId="0" fontId="54" fillId="20" borderId="82" xfId="0" applyFont="1" applyFill="1" applyBorder="1" applyAlignment="1">
      <alignment horizontal="center"/>
    </xf>
    <xf numFmtId="0" fontId="59" fillId="20" borderId="82" xfId="6" applyFont="1" applyFill="1" applyBorder="1" applyAlignment="1">
      <alignment horizontal="left" vertical="center"/>
    </xf>
    <xf numFmtId="0" fontId="53" fillId="20" borderId="82" xfId="0" applyFont="1" applyFill="1" applyBorder="1" applyAlignment="1">
      <alignment horizontal="center"/>
    </xf>
    <xf numFmtId="178" fontId="59" fillId="20" borderId="82" xfId="6" applyNumberFormat="1" applyFont="1" applyFill="1" applyBorder="1" applyAlignment="1">
      <alignment horizontal="center"/>
    </xf>
    <xf numFmtId="178" fontId="59" fillId="20" borderId="83" xfId="6" applyNumberFormat="1" applyFont="1" applyFill="1" applyBorder="1" applyAlignment="1">
      <alignment horizontal="center"/>
    </xf>
    <xf numFmtId="0" fontId="46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26" fontId="53" fillId="0" borderId="0" xfId="0" applyNumberFormat="1" applyFont="1" applyAlignment="1">
      <alignment vertical="center"/>
    </xf>
    <xf numFmtId="189" fontId="53" fillId="0" borderId="0" xfId="0" applyNumberFormat="1" applyFont="1" applyAlignment="1">
      <alignment vertical="center"/>
    </xf>
    <xf numFmtId="0" fontId="0" fillId="22" borderId="0" xfId="0" applyFill="1"/>
    <xf numFmtId="0" fontId="36" fillId="2" borderId="0" xfId="0" applyFont="1" applyFill="1"/>
    <xf numFmtId="0" fontId="36" fillId="0" borderId="0" xfId="0" applyFont="1" applyFill="1"/>
    <xf numFmtId="182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0" fontId="0" fillId="0" borderId="0" xfId="0" applyAlignment="1">
      <alignment shrinkToFit="1"/>
    </xf>
    <xf numFmtId="178" fontId="17" fillId="0" borderId="59" xfId="0" applyNumberFormat="1" applyFont="1" applyBorder="1" applyAlignment="1">
      <alignment horizontal="center" vertical="center"/>
    </xf>
    <xf numFmtId="182" fontId="17" fillId="0" borderId="59" xfId="0" applyNumberFormat="1" applyFont="1" applyBorder="1" applyAlignment="1">
      <alignment horizontal="center" vertical="center"/>
    </xf>
    <xf numFmtId="187" fontId="17" fillId="0" borderId="59" xfId="0" applyNumberFormat="1" applyFont="1" applyBorder="1" applyAlignment="1">
      <alignment horizontal="center" vertical="center"/>
    </xf>
    <xf numFmtId="187" fontId="17" fillId="0" borderId="54" xfId="0" applyNumberFormat="1" applyFont="1" applyBorder="1" applyAlignment="1">
      <alignment horizontal="center" vertical="center"/>
    </xf>
    <xf numFmtId="187" fontId="17" fillId="0" borderId="57" xfId="0" applyNumberFormat="1" applyFont="1" applyBorder="1" applyAlignment="1">
      <alignment horizontal="center" vertical="center"/>
    </xf>
    <xf numFmtId="178" fontId="17" fillId="0" borderId="57" xfId="0" applyNumberFormat="1" applyFont="1" applyBorder="1" applyAlignment="1">
      <alignment horizontal="center" vertical="center"/>
    </xf>
    <xf numFmtId="0" fontId="17" fillId="8" borderId="57" xfId="0" applyFont="1" applyFill="1" applyBorder="1" applyAlignment="1">
      <alignment horizontal="center"/>
    </xf>
    <xf numFmtId="0" fontId="17" fillId="8" borderId="63" xfId="0" applyFont="1" applyFill="1" applyBorder="1" applyAlignment="1">
      <alignment horizontal="center" shrinkToFit="1"/>
    </xf>
    <xf numFmtId="178" fontId="17" fillId="9" borderId="1" xfId="0" applyNumberFormat="1" applyFont="1" applyFill="1" applyBorder="1" applyAlignment="1">
      <alignment horizontal="center"/>
    </xf>
    <xf numFmtId="180" fontId="17" fillId="9" borderId="2" xfId="0" applyNumberFormat="1" applyFont="1" applyFill="1" applyBorder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7" fillId="9" borderId="3" xfId="0" applyFont="1" applyFill="1" applyBorder="1" applyAlignment="1">
      <alignment horizontal="center"/>
    </xf>
    <xf numFmtId="178" fontId="67" fillId="23" borderId="39" xfId="0" applyNumberFormat="1" applyFont="1" applyFill="1" applyBorder="1" applyAlignment="1">
      <alignment horizontal="center" vertical="center"/>
    </xf>
    <xf numFmtId="182" fontId="18" fillId="3" borderId="39" xfId="0" applyNumberFormat="1" applyFont="1" applyFill="1" applyBorder="1" applyAlignment="1">
      <alignment horizontal="center" vertical="center"/>
    </xf>
    <xf numFmtId="181" fontId="17" fillId="3" borderId="39" xfId="0" applyNumberFormat="1" applyFont="1" applyFill="1" applyBorder="1" applyAlignment="1">
      <alignment horizontal="center" vertical="center"/>
    </xf>
    <xf numFmtId="187" fontId="17" fillId="3" borderId="39" xfId="0" applyNumberFormat="1" applyFont="1" applyFill="1" applyBorder="1" applyAlignment="1">
      <alignment horizontal="center" vertical="center"/>
    </xf>
    <xf numFmtId="178" fontId="17" fillId="3" borderId="39" xfId="0" applyNumberFormat="1" applyFont="1" applyFill="1" applyBorder="1" applyAlignment="1">
      <alignment horizontal="center" vertical="center"/>
    </xf>
    <xf numFmtId="0" fontId="0" fillId="20" borderId="39" xfId="0" applyFill="1" applyBorder="1" applyAlignment="1">
      <alignment horizontal="center"/>
    </xf>
    <xf numFmtId="0" fontId="0" fillId="20" borderId="40" xfId="0" applyFill="1" applyBorder="1" applyAlignment="1">
      <alignment horizontal="center"/>
    </xf>
    <xf numFmtId="0" fontId="0" fillId="20" borderId="40" xfId="0" applyFill="1" applyBorder="1" applyAlignment="1">
      <alignment horizontal="center" shrinkToFit="1"/>
    </xf>
    <xf numFmtId="178" fontId="17" fillId="9" borderId="10" xfId="0" applyNumberFormat="1" applyFont="1" applyFill="1" applyBorder="1" applyAlignment="1">
      <alignment horizontal="center"/>
    </xf>
    <xf numFmtId="14" fontId="68" fillId="8" borderId="43" xfId="0" applyNumberFormat="1" applyFont="1" applyFill="1" applyBorder="1" applyAlignment="1">
      <alignment horizontal="center" vertical="center"/>
    </xf>
    <xf numFmtId="0" fontId="68" fillId="8" borderId="55" xfId="0" applyFont="1" applyFill="1" applyBorder="1" applyAlignment="1">
      <alignment horizontal="left" vertical="center"/>
    </xf>
    <xf numFmtId="0" fontId="36" fillId="8" borderId="55" xfId="0" applyFont="1" applyFill="1" applyBorder="1" applyAlignment="1">
      <alignment horizontal="center" vertical="center"/>
    </xf>
    <xf numFmtId="0" fontId="36" fillId="8" borderId="55" xfId="0" applyFont="1" applyFill="1" applyBorder="1" applyAlignment="1">
      <alignment horizontal="left" vertical="center"/>
    </xf>
    <xf numFmtId="0" fontId="36" fillId="8" borderId="55" xfId="0" applyFont="1" applyFill="1" applyBorder="1" applyAlignment="1">
      <alignment vertical="center"/>
    </xf>
    <xf numFmtId="178" fontId="36" fillId="8" borderId="55" xfId="0" applyNumberFormat="1" applyFont="1" applyFill="1" applyBorder="1" applyAlignment="1">
      <alignment horizontal="center" vertical="center"/>
    </xf>
    <xf numFmtId="182" fontId="36" fillId="8" borderId="55" xfId="0" applyNumberFormat="1" applyFont="1" applyFill="1" applyBorder="1" applyAlignment="1">
      <alignment horizontal="center" vertical="center"/>
    </xf>
    <xf numFmtId="26" fontId="36" fillId="8" borderId="55" xfId="0" applyNumberFormat="1" applyFont="1" applyFill="1" applyBorder="1" applyAlignment="1">
      <alignment horizontal="center"/>
    </xf>
    <xf numFmtId="0" fontId="68" fillId="8" borderId="55" xfId="0" applyFont="1" applyFill="1" applyBorder="1" applyAlignment="1">
      <alignment horizontal="center" vertical="center"/>
    </xf>
    <xf numFmtId="187" fontId="36" fillId="8" borderId="55" xfId="0" applyNumberFormat="1" applyFont="1" applyFill="1" applyBorder="1" applyAlignment="1">
      <alignment horizontal="center" vertical="center"/>
    </xf>
    <xf numFmtId="26" fontId="36" fillId="8" borderId="55" xfId="0" applyNumberFormat="1" applyFont="1" applyFill="1" applyBorder="1" applyAlignment="1">
      <alignment horizontal="center" vertical="center"/>
    </xf>
    <xf numFmtId="187" fontId="36" fillId="8" borderId="55" xfId="0" applyNumberFormat="1" applyFont="1" applyFill="1" applyBorder="1" applyAlignment="1">
      <alignment horizontal="center"/>
    </xf>
    <xf numFmtId="15" fontId="36" fillId="8" borderId="55" xfId="0" applyNumberFormat="1" applyFont="1" applyFill="1" applyBorder="1" applyAlignment="1">
      <alignment horizontal="center"/>
    </xf>
    <xf numFmtId="0" fontId="36" fillId="8" borderId="55" xfId="0" applyFont="1" applyFill="1" applyBorder="1" applyAlignment="1">
      <alignment horizontal="center"/>
    </xf>
    <xf numFmtId="0" fontId="69" fillId="8" borderId="44" xfId="6" applyFont="1" applyFill="1" applyBorder="1" applyAlignment="1">
      <alignment horizontal="center" vertical="center"/>
    </xf>
    <xf numFmtId="178" fontId="70" fillId="8" borderId="60" xfId="0" applyNumberFormat="1" applyFont="1" applyFill="1" applyBorder="1" applyAlignment="1">
      <alignment horizontal="center" vertical="center"/>
    </xf>
    <xf numFmtId="0" fontId="70" fillId="8" borderId="54" xfId="0" applyFont="1" applyFill="1" applyBorder="1"/>
    <xf numFmtId="26" fontId="70" fillId="8" borderId="54" xfId="6" applyNumberFormat="1" applyFont="1" applyFill="1" applyBorder="1" applyAlignment="1">
      <alignment horizontal="center"/>
    </xf>
    <xf numFmtId="26" fontId="70" fillId="8" borderId="59" xfId="6" applyNumberFormat="1" applyFont="1" applyFill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24" xfId="0" applyFont="1" applyBorder="1" applyAlignment="1">
      <alignment shrinkToFit="1"/>
    </xf>
    <xf numFmtId="178" fontId="70" fillId="0" borderId="67" xfId="0" applyNumberFormat="1" applyFont="1" applyBorder="1" applyAlignment="1">
      <alignment horizontal="center" vertical="center"/>
    </xf>
    <xf numFmtId="0" fontId="70" fillId="0" borderId="23" xfId="0" applyFont="1" applyBorder="1"/>
    <xf numFmtId="26" fontId="70" fillId="0" borderId="23" xfId="6" applyNumberFormat="1" applyFont="1" applyBorder="1" applyAlignment="1">
      <alignment horizontal="center"/>
    </xf>
    <xf numFmtId="26" fontId="70" fillId="0" borderId="24" xfId="6" applyNumberFormat="1" applyFont="1" applyBorder="1" applyAlignment="1">
      <alignment horizontal="center"/>
    </xf>
    <xf numFmtId="14" fontId="36" fillId="0" borderId="23" xfId="0" applyNumberFormat="1" applyFont="1" applyBorder="1" applyAlignment="1">
      <alignment horizontal="center"/>
    </xf>
    <xf numFmtId="0" fontId="36" fillId="0" borderId="23" xfId="0" applyFont="1" applyBorder="1" applyAlignment="1">
      <alignment horizontal="left"/>
    </xf>
    <xf numFmtId="180" fontId="36" fillId="0" borderId="23" xfId="0" applyNumberFormat="1" applyFont="1" applyBorder="1" applyAlignment="1">
      <alignment horizontal="center" vertical="center"/>
    </xf>
    <xf numFmtId="0" fontId="36" fillId="2" borderId="23" xfId="0" applyFont="1" applyFill="1" applyBorder="1" applyAlignment="1">
      <alignment horizontal="left" vertical="center"/>
    </xf>
    <xf numFmtId="0" fontId="71" fillId="0" borderId="23" xfId="0" applyFont="1" applyBorder="1" applyAlignment="1">
      <alignment horizontal="center"/>
    </xf>
    <xf numFmtId="26" fontId="36" fillId="0" borderId="23" xfId="0" applyNumberFormat="1" applyFont="1" applyBorder="1" applyAlignment="1">
      <alignment horizontal="center"/>
    </xf>
    <xf numFmtId="0" fontId="72" fillId="0" borderId="23" xfId="0" applyFont="1" applyBorder="1" applyAlignment="1">
      <alignment horizontal="center" vertical="center"/>
    </xf>
    <xf numFmtId="0" fontId="36" fillId="0" borderId="23" xfId="0" applyFont="1" applyBorder="1" applyAlignment="1"/>
    <xf numFmtId="0" fontId="36" fillId="0" borderId="0" xfId="0" applyFont="1" applyAlignment="1">
      <alignment horizontal="center"/>
    </xf>
    <xf numFmtId="14" fontId="36" fillId="0" borderId="22" xfId="0" applyNumberFormat="1" applyFont="1" applyBorder="1" applyAlignment="1">
      <alignment horizontal="center"/>
    </xf>
    <xf numFmtId="0" fontId="36" fillId="0" borderId="23" xfId="0" applyFont="1" applyBorder="1" applyAlignment="1">
      <alignment wrapText="1"/>
    </xf>
    <xf numFmtId="188" fontId="36" fillId="0" borderId="23" xfId="0" applyNumberFormat="1" applyFont="1" applyBorder="1" applyAlignment="1">
      <alignment horizontal="center" vertical="center"/>
    </xf>
    <xf numFmtId="14" fontId="36" fillId="15" borderId="23" xfId="0" applyNumberFormat="1" applyFont="1" applyFill="1" applyBorder="1" applyAlignment="1">
      <alignment horizontal="center"/>
    </xf>
    <xf numFmtId="0" fontId="36" fillId="15" borderId="23" xfId="0" applyFont="1" applyFill="1" applyBorder="1"/>
    <xf numFmtId="0" fontId="36" fillId="15" borderId="23" xfId="0" applyFont="1" applyFill="1" applyBorder="1" applyAlignment="1">
      <alignment horizontal="center"/>
    </xf>
    <xf numFmtId="178" fontId="36" fillId="15" borderId="23" xfId="0" applyNumberFormat="1" applyFont="1" applyFill="1" applyBorder="1" applyAlignment="1">
      <alignment horizontal="center" vertical="center"/>
    </xf>
    <xf numFmtId="0" fontId="36" fillId="15" borderId="23" xfId="0" applyFont="1" applyFill="1" applyBorder="1" applyAlignment="1">
      <alignment horizontal="center" vertical="center"/>
    </xf>
    <xf numFmtId="187" fontId="36" fillId="15" borderId="23" xfId="0" applyNumberFormat="1" applyFont="1" applyFill="1" applyBorder="1" applyAlignment="1">
      <alignment horizontal="center" vertical="center"/>
    </xf>
    <xf numFmtId="26" fontId="36" fillId="15" borderId="23" xfId="0" applyNumberFormat="1" applyFont="1" applyFill="1" applyBorder="1" applyAlignment="1">
      <alignment horizontal="center" vertical="center"/>
    </xf>
    <xf numFmtId="0" fontId="36" fillId="15" borderId="24" xfId="0" applyFont="1" applyFill="1" applyBorder="1" applyAlignment="1">
      <alignment shrinkToFit="1"/>
    </xf>
    <xf numFmtId="178" fontId="70" fillId="15" borderId="67" xfId="0" applyNumberFormat="1" applyFont="1" applyFill="1" applyBorder="1" applyAlignment="1">
      <alignment horizontal="center" vertical="center"/>
    </xf>
    <xf numFmtId="0" fontId="70" fillId="15" borderId="23" xfId="0" applyFont="1" applyFill="1" applyBorder="1"/>
    <xf numFmtId="26" fontId="70" fillId="15" borderId="23" xfId="6" applyNumberFormat="1" applyFont="1" applyFill="1" applyBorder="1" applyAlignment="1">
      <alignment horizontal="center"/>
    </xf>
    <xf numFmtId="26" fontId="70" fillId="15" borderId="24" xfId="6" applyNumberFormat="1" applyFont="1" applyFill="1" applyBorder="1" applyAlignment="1">
      <alignment horizontal="center"/>
    </xf>
    <xf numFmtId="182" fontId="36" fillId="15" borderId="23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73" fillId="0" borderId="23" xfId="0" applyFont="1" applyBorder="1" applyAlignment="1">
      <alignment horizontal="left" vertical="center"/>
    </xf>
    <xf numFmtId="49" fontId="73" fillId="0" borderId="23" xfId="0" applyNumberFormat="1" applyFont="1" applyBorder="1" applyAlignment="1">
      <alignment horizontal="center"/>
    </xf>
    <xf numFmtId="178" fontId="74" fillId="0" borderId="23" xfId="0" applyNumberFormat="1" applyFont="1" applyBorder="1" applyAlignment="1">
      <alignment horizontal="center" vertical="center"/>
    </xf>
    <xf numFmtId="14" fontId="36" fillId="20" borderId="23" xfId="0" applyNumberFormat="1" applyFont="1" applyFill="1" applyBorder="1" applyAlignment="1">
      <alignment horizontal="center"/>
    </xf>
    <xf numFmtId="0" fontId="36" fillId="20" borderId="23" xfId="0" applyFont="1" applyFill="1" applyBorder="1"/>
    <xf numFmtId="0" fontId="36" fillId="20" borderId="23" xfId="0" applyFont="1" applyFill="1" applyBorder="1" applyAlignment="1">
      <alignment horizontal="center"/>
    </xf>
    <xf numFmtId="178" fontId="36" fillId="20" borderId="23" xfId="0" applyNumberFormat="1" applyFont="1" applyFill="1" applyBorder="1" applyAlignment="1">
      <alignment horizontal="center" vertical="center"/>
    </xf>
    <xf numFmtId="178" fontId="36" fillId="19" borderId="23" xfId="0" applyNumberFormat="1" applyFont="1" applyFill="1" applyBorder="1" applyAlignment="1">
      <alignment horizontal="center" vertical="center"/>
    </xf>
    <xf numFmtId="182" fontId="36" fillId="20" borderId="23" xfId="0" applyNumberFormat="1" applyFont="1" applyFill="1" applyBorder="1" applyAlignment="1">
      <alignment horizontal="center" vertical="center"/>
    </xf>
    <xf numFmtId="26" fontId="36" fillId="20" borderId="23" xfId="0" applyNumberFormat="1" applyFont="1" applyFill="1" applyBorder="1" applyAlignment="1">
      <alignment horizontal="center" vertical="center"/>
    </xf>
    <xf numFmtId="0" fontId="36" fillId="20" borderId="23" xfId="0" applyFont="1" applyFill="1" applyBorder="1" applyAlignment="1">
      <alignment horizontal="center" vertical="center"/>
    </xf>
    <xf numFmtId="187" fontId="36" fillId="20" borderId="23" xfId="0" applyNumberFormat="1" applyFont="1" applyFill="1" applyBorder="1" applyAlignment="1">
      <alignment horizontal="center" vertical="center"/>
    </xf>
    <xf numFmtId="14" fontId="36" fillId="0" borderId="23" xfId="0" applyNumberFormat="1" applyFont="1" applyBorder="1"/>
    <xf numFmtId="26" fontId="36" fillId="0" borderId="16" xfId="0" applyNumberFormat="1" applyFont="1" applyBorder="1" applyAlignment="1">
      <alignment horizontal="center" vertical="center"/>
    </xf>
    <xf numFmtId="0" fontId="36" fillId="0" borderId="16" xfId="0" applyFont="1" applyBorder="1" applyAlignment="1">
      <alignment horizontal="center"/>
    </xf>
    <xf numFmtId="0" fontId="75" fillId="0" borderId="23" xfId="6" applyFont="1" applyBorder="1"/>
    <xf numFmtId="178" fontId="36" fillId="0" borderId="16" xfId="0" applyNumberFormat="1" applyFont="1" applyBorder="1" applyAlignment="1">
      <alignment horizontal="center" vertical="center"/>
    </xf>
    <xf numFmtId="182" fontId="36" fillId="0" borderId="16" xfId="0" applyNumberFormat="1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187" fontId="36" fillId="0" borderId="16" xfId="0" applyNumberFormat="1" applyFont="1" applyBorder="1" applyAlignment="1">
      <alignment horizontal="center" vertical="center"/>
    </xf>
    <xf numFmtId="0" fontId="36" fillId="0" borderId="16" xfId="0" applyFont="1" applyBorder="1"/>
    <xf numFmtId="0" fontId="36" fillId="0" borderId="18" xfId="0" applyFont="1" applyBorder="1" applyAlignment="1">
      <alignment shrinkToFit="1"/>
    </xf>
    <xf numFmtId="26" fontId="36" fillId="0" borderId="23" xfId="0" applyNumberFormat="1" applyFont="1" applyBorder="1"/>
    <xf numFmtId="14" fontId="36" fillId="0" borderId="23" xfId="0" applyNumberFormat="1" applyFont="1" applyBorder="1" applyAlignment="1">
      <alignment horizontal="center" vertical="center"/>
    </xf>
    <xf numFmtId="14" fontId="36" fillId="24" borderId="23" xfId="0" applyNumberFormat="1" applyFont="1" applyFill="1" applyBorder="1" applyAlignment="1">
      <alignment horizontal="center"/>
    </xf>
    <xf numFmtId="0" fontId="36" fillId="24" borderId="23" xfId="0" applyFont="1" applyFill="1" applyBorder="1"/>
    <xf numFmtId="0" fontId="36" fillId="24" borderId="23" xfId="0" applyFont="1" applyFill="1" applyBorder="1" applyAlignment="1">
      <alignment horizontal="center"/>
    </xf>
    <xf numFmtId="0" fontId="36" fillId="24" borderId="16" xfId="0" applyFont="1" applyFill="1" applyBorder="1" applyAlignment="1">
      <alignment horizontal="center"/>
    </xf>
    <xf numFmtId="178" fontId="36" fillId="20" borderId="16" xfId="0" applyNumberFormat="1" applyFont="1" applyFill="1" applyBorder="1" applyAlignment="1">
      <alignment horizontal="center" vertical="center"/>
    </xf>
    <xf numFmtId="178" fontId="36" fillId="19" borderId="16" xfId="0" applyNumberFormat="1" applyFont="1" applyFill="1" applyBorder="1" applyAlignment="1">
      <alignment horizontal="center" vertical="center"/>
    </xf>
    <xf numFmtId="182" fontId="36" fillId="24" borderId="16" xfId="0" applyNumberFormat="1" applyFont="1" applyFill="1" applyBorder="1" applyAlignment="1">
      <alignment horizontal="center" vertical="center"/>
    </xf>
    <xf numFmtId="26" fontId="36" fillId="24" borderId="16" xfId="0" applyNumberFormat="1" applyFont="1" applyFill="1" applyBorder="1" applyAlignment="1">
      <alignment horizontal="center" vertical="center"/>
    </xf>
    <xf numFmtId="0" fontId="36" fillId="24" borderId="16" xfId="0" applyFont="1" applyFill="1" applyBorder="1" applyAlignment="1">
      <alignment horizontal="center" vertical="center"/>
    </xf>
    <xf numFmtId="187" fontId="36" fillId="24" borderId="16" xfId="0" applyNumberFormat="1" applyFont="1" applyFill="1" applyBorder="1" applyAlignment="1">
      <alignment horizontal="center" vertical="center"/>
    </xf>
    <xf numFmtId="0" fontId="36" fillId="24" borderId="16" xfId="0" applyFont="1" applyFill="1" applyBorder="1"/>
    <xf numFmtId="178" fontId="36" fillId="24" borderId="16" xfId="0" applyNumberFormat="1" applyFont="1" applyFill="1" applyBorder="1" applyAlignment="1">
      <alignment horizontal="center" vertical="center"/>
    </xf>
    <xf numFmtId="0" fontId="36" fillId="15" borderId="18" xfId="0" applyFont="1" applyFill="1" applyBorder="1" applyAlignment="1">
      <alignment shrinkToFit="1"/>
    </xf>
    <xf numFmtId="0" fontId="36" fillId="24" borderId="57" xfId="0" applyFont="1" applyFill="1" applyBorder="1" applyAlignment="1">
      <alignment horizontal="center"/>
    </xf>
    <xf numFmtId="178" fontId="36" fillId="20" borderId="57" xfId="0" applyNumberFormat="1" applyFont="1" applyFill="1" applyBorder="1" applyAlignment="1">
      <alignment horizontal="center" vertical="center"/>
    </xf>
    <xf numFmtId="178" fontId="36" fillId="19" borderId="57" xfId="0" applyNumberFormat="1" applyFont="1" applyFill="1" applyBorder="1" applyAlignment="1">
      <alignment horizontal="center" vertical="center"/>
    </xf>
    <xf numFmtId="182" fontId="36" fillId="24" borderId="57" xfId="0" applyNumberFormat="1" applyFont="1" applyFill="1" applyBorder="1" applyAlignment="1">
      <alignment horizontal="center" vertical="center"/>
    </xf>
    <xf numFmtId="26" fontId="36" fillId="24" borderId="57" xfId="0" applyNumberFormat="1" applyFont="1" applyFill="1" applyBorder="1" applyAlignment="1">
      <alignment horizontal="center" vertical="center"/>
    </xf>
    <xf numFmtId="0" fontId="36" fillId="24" borderId="57" xfId="0" applyFont="1" applyFill="1" applyBorder="1" applyAlignment="1">
      <alignment horizontal="center" vertical="center"/>
    </xf>
    <xf numFmtId="187" fontId="36" fillId="24" borderId="57" xfId="0" applyNumberFormat="1" applyFont="1" applyFill="1" applyBorder="1" applyAlignment="1">
      <alignment horizontal="center" vertical="center"/>
    </xf>
    <xf numFmtId="0" fontId="36" fillId="24" borderId="57" xfId="0" applyFont="1" applyFill="1" applyBorder="1"/>
    <xf numFmtId="178" fontId="36" fillId="24" borderId="57" xfId="0" applyNumberFormat="1" applyFont="1" applyFill="1" applyBorder="1" applyAlignment="1">
      <alignment horizontal="center" vertical="center"/>
    </xf>
    <xf numFmtId="0" fontId="36" fillId="15" borderId="46" xfId="0" applyFont="1" applyFill="1" applyBorder="1" applyAlignment="1">
      <alignment shrinkToFit="1"/>
    </xf>
    <xf numFmtId="178" fontId="36" fillId="0" borderId="23" xfId="0" applyNumberFormat="1" applyFont="1" applyBorder="1" applyAlignment="1">
      <alignment horizontal="center"/>
    </xf>
    <xf numFmtId="14" fontId="36" fillId="25" borderId="23" xfId="0" applyNumberFormat="1" applyFont="1" applyFill="1" applyBorder="1" applyAlignment="1">
      <alignment horizontal="center"/>
    </xf>
    <xf numFmtId="0" fontId="36" fillId="25" borderId="23" xfId="0" applyFont="1" applyFill="1" applyBorder="1"/>
    <xf numFmtId="0" fontId="36" fillId="25" borderId="23" xfId="0" applyFont="1" applyFill="1" applyBorder="1" applyAlignment="1">
      <alignment horizontal="center"/>
    </xf>
    <xf numFmtId="178" fontId="36" fillId="25" borderId="23" xfId="0" applyNumberFormat="1" applyFont="1" applyFill="1" applyBorder="1" applyAlignment="1">
      <alignment horizontal="center"/>
    </xf>
    <xf numFmtId="182" fontId="36" fillId="25" borderId="23" xfId="0" applyNumberFormat="1" applyFont="1" applyFill="1" applyBorder="1" applyAlignment="1">
      <alignment horizontal="center" vertical="center"/>
    </xf>
    <xf numFmtId="26" fontId="36" fillId="25" borderId="23" xfId="0" applyNumberFormat="1" applyFont="1" applyFill="1" applyBorder="1" applyAlignment="1">
      <alignment horizontal="center" vertical="center"/>
    </xf>
    <xf numFmtId="0" fontId="36" fillId="25" borderId="23" xfId="0" applyFont="1" applyFill="1" applyBorder="1" applyAlignment="1">
      <alignment horizontal="center" vertical="center"/>
    </xf>
    <xf numFmtId="187" fontId="36" fillId="25" borderId="23" xfId="0" applyNumberFormat="1" applyFont="1" applyFill="1" applyBorder="1" applyAlignment="1">
      <alignment horizontal="center" vertical="center"/>
    </xf>
    <xf numFmtId="178" fontId="36" fillId="25" borderId="23" xfId="0" applyNumberFormat="1" applyFont="1" applyFill="1" applyBorder="1" applyAlignment="1">
      <alignment horizontal="center" vertical="center"/>
    </xf>
    <xf numFmtId="180" fontId="36" fillId="0" borderId="23" xfId="0" applyNumberFormat="1" applyFont="1" applyBorder="1" applyAlignment="1">
      <alignment horizontal="center"/>
    </xf>
    <xf numFmtId="187" fontId="36" fillId="0" borderId="23" xfId="0" applyNumberFormat="1" applyFont="1" applyBorder="1" applyAlignment="1">
      <alignment horizontal="center"/>
    </xf>
    <xf numFmtId="0" fontId="36" fillId="13" borderId="23" xfId="0" applyFont="1" applyFill="1" applyBorder="1" applyAlignment="1">
      <alignment horizontal="center"/>
    </xf>
    <xf numFmtId="0" fontId="36" fillId="0" borderId="24" xfId="0" applyFont="1" applyBorder="1" applyAlignment="1">
      <alignment horizontal="center"/>
    </xf>
    <xf numFmtId="178" fontId="74" fillId="0" borderId="23" xfId="0" applyNumberFormat="1" applyFont="1" applyBorder="1" applyAlignment="1">
      <alignment horizontal="center"/>
    </xf>
    <xf numFmtId="187" fontId="73" fillId="0" borderId="0" xfId="0" applyNumberFormat="1" applyFont="1" applyAlignment="1">
      <alignment horizontal="center"/>
    </xf>
    <xf numFmtId="0" fontId="36" fillId="12" borderId="23" xfId="0" applyFont="1" applyFill="1" applyBorder="1" applyAlignment="1">
      <alignment horizontal="center"/>
    </xf>
    <xf numFmtId="0" fontId="75" fillId="0" borderId="0" xfId="6" applyFont="1"/>
    <xf numFmtId="182" fontId="36" fillId="12" borderId="23" xfId="0" applyNumberFormat="1" applyFont="1" applyFill="1" applyBorder="1" applyAlignment="1">
      <alignment horizontal="center" vertical="center"/>
    </xf>
    <xf numFmtId="0" fontId="73" fillId="0" borderId="27" xfId="0" applyFont="1" applyBorder="1" applyAlignment="1">
      <alignment horizontal="left" vertical="center"/>
    </xf>
    <xf numFmtId="0" fontId="36" fillId="0" borderId="67" xfId="0" applyFont="1" applyBorder="1" applyAlignment="1">
      <alignment horizontal="center"/>
    </xf>
    <xf numFmtId="24" fontId="73" fillId="0" borderId="23" xfId="0" applyNumberFormat="1" applyFont="1" applyBorder="1" applyAlignment="1">
      <alignment horizontal="center"/>
    </xf>
    <xf numFmtId="0" fontId="69" fillId="0" borderId="0" xfId="6" applyFont="1"/>
    <xf numFmtId="188" fontId="72" fillId="0" borderId="23" xfId="0" applyNumberFormat="1" applyFont="1" applyBorder="1" applyAlignment="1">
      <alignment horizontal="center" vertical="center"/>
    </xf>
    <xf numFmtId="182" fontId="72" fillId="0" borderId="23" xfId="0" applyNumberFormat="1" applyFont="1" applyBorder="1" applyAlignment="1">
      <alignment horizontal="center" vertical="center"/>
    </xf>
    <xf numFmtId="186" fontId="36" fillId="24" borderId="23" xfId="0" applyNumberFormat="1" applyFont="1" applyFill="1" applyBorder="1" applyAlignment="1">
      <alignment horizontal="center" vertical="center"/>
    </xf>
    <xf numFmtId="180" fontId="36" fillId="24" borderId="23" xfId="0" applyNumberFormat="1" applyFont="1" applyFill="1" applyBorder="1" applyAlignment="1">
      <alignment horizontal="center"/>
    </xf>
    <xf numFmtId="0" fontId="36" fillId="24" borderId="23" xfId="0" applyFont="1" applyFill="1" applyBorder="1" applyAlignment="1">
      <alignment horizontal="left" vertical="center"/>
    </xf>
    <xf numFmtId="188" fontId="72" fillId="14" borderId="23" xfId="0" applyNumberFormat="1" applyFont="1" applyFill="1" applyBorder="1" applyAlignment="1">
      <alignment horizontal="center" vertical="center"/>
    </xf>
    <xf numFmtId="182" fontId="36" fillId="24" borderId="23" xfId="0" applyNumberFormat="1" applyFont="1" applyFill="1" applyBorder="1" applyAlignment="1">
      <alignment horizontal="center" vertical="center"/>
    </xf>
    <xf numFmtId="0" fontId="36" fillId="24" borderId="23" xfId="0" applyFont="1" applyFill="1" applyBorder="1" applyAlignment="1">
      <alignment horizontal="center" vertical="center"/>
    </xf>
    <xf numFmtId="15" fontId="36" fillId="24" borderId="23" xfId="0" applyNumberFormat="1" applyFont="1" applyFill="1" applyBorder="1" applyAlignment="1">
      <alignment horizontal="center"/>
    </xf>
    <xf numFmtId="26" fontId="36" fillId="24" borderId="23" xfId="0" applyNumberFormat="1" applyFont="1" applyFill="1" applyBorder="1" applyAlignment="1">
      <alignment horizontal="center"/>
    </xf>
    <xf numFmtId="187" fontId="36" fillId="24" borderId="23" xfId="0" applyNumberFormat="1" applyFont="1" applyFill="1" applyBorder="1" applyAlignment="1">
      <alignment horizontal="center"/>
    </xf>
    <xf numFmtId="178" fontId="36" fillId="24" borderId="23" xfId="0" applyNumberFormat="1" applyFont="1" applyFill="1" applyBorder="1" applyAlignment="1">
      <alignment horizontal="center" vertical="center"/>
    </xf>
    <xf numFmtId="0" fontId="75" fillId="24" borderId="23" xfId="6" applyFont="1" applyFill="1" applyBorder="1" applyAlignment="1">
      <alignment horizontal="left"/>
    </xf>
    <xf numFmtId="0" fontId="36" fillId="15" borderId="24" xfId="0" applyFont="1" applyFill="1" applyBorder="1" applyAlignment="1">
      <alignment horizontal="center" shrinkToFit="1"/>
    </xf>
    <xf numFmtId="0" fontId="36" fillId="0" borderId="24" xfId="0" applyFont="1" applyBorder="1"/>
    <xf numFmtId="0" fontId="36" fillId="0" borderId="23" xfId="0" applyFont="1" applyBorder="1" applyAlignment="1">
      <alignment horizontal="left" vertical="center"/>
    </xf>
    <xf numFmtId="0" fontId="75" fillId="0" borderId="23" xfId="6" applyFont="1" applyBorder="1" applyAlignment="1">
      <alignment horizontal="center"/>
    </xf>
    <xf numFmtId="26" fontId="36" fillId="24" borderId="23" xfId="0" applyNumberFormat="1" applyFont="1" applyFill="1" applyBorder="1" applyAlignment="1">
      <alignment horizontal="center" vertical="center"/>
    </xf>
    <xf numFmtId="187" fontId="36" fillId="24" borderId="23" xfId="0" applyNumberFormat="1" applyFont="1" applyFill="1" applyBorder="1" applyAlignment="1">
      <alignment horizontal="center" vertical="center"/>
    </xf>
    <xf numFmtId="186" fontId="36" fillId="12" borderId="23" xfId="0" applyNumberFormat="1" applyFont="1" applyFill="1" applyBorder="1" applyAlignment="1">
      <alignment horizontal="center"/>
    </xf>
    <xf numFmtId="0" fontId="36" fillId="12" borderId="23" xfId="0" applyFont="1" applyFill="1" applyBorder="1" applyAlignment="1">
      <alignment horizontal="left"/>
    </xf>
    <xf numFmtId="178" fontId="36" fillId="12" borderId="23" xfId="0" applyNumberFormat="1" applyFont="1" applyFill="1" applyBorder="1" applyAlignment="1">
      <alignment horizontal="center" vertical="center"/>
    </xf>
    <xf numFmtId="178" fontId="36" fillId="12" borderId="23" xfId="0" applyNumberFormat="1" applyFont="1" applyFill="1" applyBorder="1" applyAlignment="1">
      <alignment horizontal="center"/>
    </xf>
    <xf numFmtId="0" fontId="36" fillId="12" borderId="23" xfId="0" applyFont="1" applyFill="1" applyBorder="1" applyAlignment="1">
      <alignment horizontal="center" vertical="center"/>
    </xf>
    <xf numFmtId="187" fontId="36" fillId="12" borderId="23" xfId="0" applyNumberFormat="1" applyFont="1" applyFill="1" applyBorder="1" applyAlignment="1">
      <alignment horizontal="center" vertical="center"/>
    </xf>
    <xf numFmtId="26" fontId="36" fillId="12" borderId="23" xfId="0" applyNumberFormat="1" applyFont="1" applyFill="1" applyBorder="1" applyAlignment="1">
      <alignment horizontal="center"/>
    </xf>
    <xf numFmtId="0" fontId="36" fillId="12" borderId="23" xfId="0" applyFont="1" applyFill="1" applyBorder="1"/>
    <xf numFmtId="0" fontId="36" fillId="12" borderId="24" xfId="0" applyFont="1" applyFill="1" applyBorder="1" applyAlignment="1">
      <alignment shrinkToFit="1"/>
    </xf>
    <xf numFmtId="14" fontId="36" fillId="12" borderId="23" xfId="0" applyNumberFormat="1" applyFont="1" applyFill="1" applyBorder="1" applyAlignment="1">
      <alignment horizontal="center"/>
    </xf>
    <xf numFmtId="180" fontId="36" fillId="12" borderId="23" xfId="0" applyNumberFormat="1" applyFont="1" applyFill="1" applyBorder="1" applyAlignment="1">
      <alignment horizontal="center"/>
    </xf>
    <xf numFmtId="0" fontId="75" fillId="12" borderId="23" xfId="6" applyFont="1" applyFill="1" applyBorder="1" applyAlignment="1">
      <alignment horizontal="left"/>
    </xf>
    <xf numFmtId="0" fontId="36" fillId="12" borderId="24" xfId="0" applyFont="1" applyFill="1" applyBorder="1" applyAlignment="1">
      <alignment horizontal="center" shrinkToFit="1"/>
    </xf>
    <xf numFmtId="0" fontId="69" fillId="12" borderId="23" xfId="6" applyFont="1" applyFill="1" applyBorder="1" applyAlignment="1">
      <alignment horizontal="left"/>
    </xf>
    <xf numFmtId="0" fontId="75" fillId="12" borderId="24" xfId="6" applyFont="1" applyFill="1" applyBorder="1" applyAlignment="1">
      <alignment horizontal="left"/>
    </xf>
    <xf numFmtId="186" fontId="36" fillId="2" borderId="23" xfId="0" applyNumberFormat="1" applyFont="1" applyFill="1" applyBorder="1" applyAlignment="1">
      <alignment horizontal="center"/>
    </xf>
    <xf numFmtId="0" fontId="36" fillId="2" borderId="23" xfId="0" applyFont="1" applyFill="1" applyBorder="1" applyAlignment="1">
      <alignment horizontal="left"/>
    </xf>
    <xf numFmtId="180" fontId="36" fillId="2" borderId="23" xfId="0" applyNumberFormat="1" applyFont="1" applyFill="1" applyBorder="1" applyAlignment="1">
      <alignment horizontal="center"/>
    </xf>
    <xf numFmtId="0" fontId="36" fillId="2" borderId="23" xfId="0" applyFont="1" applyFill="1" applyBorder="1" applyAlignment="1">
      <alignment horizontal="center"/>
    </xf>
    <xf numFmtId="178" fontId="36" fillId="2" borderId="23" xfId="0" applyNumberFormat="1" applyFont="1" applyFill="1" applyBorder="1" applyAlignment="1">
      <alignment horizontal="center" vertical="center"/>
    </xf>
    <xf numFmtId="182" fontId="36" fillId="2" borderId="23" xfId="0" applyNumberFormat="1" applyFont="1" applyFill="1" applyBorder="1" applyAlignment="1">
      <alignment horizontal="center" vertical="center"/>
    </xf>
    <xf numFmtId="178" fontId="36" fillId="2" borderId="23" xfId="0" applyNumberFormat="1" applyFont="1" applyFill="1" applyBorder="1" applyAlignment="1">
      <alignment horizontal="center"/>
    </xf>
    <xf numFmtId="0" fontId="36" fillId="2" borderId="23" xfId="0" applyFont="1" applyFill="1" applyBorder="1" applyAlignment="1">
      <alignment horizontal="center" vertical="center"/>
    </xf>
    <xf numFmtId="187" fontId="36" fillId="2" borderId="23" xfId="0" applyNumberFormat="1" applyFont="1" applyFill="1" applyBorder="1" applyAlignment="1">
      <alignment horizontal="center" vertical="center"/>
    </xf>
    <xf numFmtId="26" fontId="36" fillId="2" borderId="23" xfId="0" applyNumberFormat="1" applyFont="1" applyFill="1" applyBorder="1" applyAlignment="1">
      <alignment horizontal="center"/>
    </xf>
    <xf numFmtId="0" fontId="75" fillId="2" borderId="23" xfId="6" applyFont="1" applyFill="1" applyBorder="1" applyAlignment="1">
      <alignment horizontal="left"/>
    </xf>
    <xf numFmtId="0" fontId="75" fillId="2" borderId="24" xfId="6" applyFont="1" applyFill="1" applyBorder="1" applyAlignment="1">
      <alignment horizontal="left"/>
    </xf>
    <xf numFmtId="178" fontId="70" fillId="2" borderId="67" xfId="0" applyNumberFormat="1" applyFont="1" applyFill="1" applyBorder="1" applyAlignment="1">
      <alignment horizontal="center" vertical="center"/>
    </xf>
    <xf numFmtId="0" fontId="70" fillId="2" borderId="23" xfId="0" applyFont="1" applyFill="1" applyBorder="1"/>
    <xf numFmtId="26" fontId="70" fillId="2" borderId="23" xfId="6" applyNumberFormat="1" applyFont="1" applyFill="1" applyBorder="1" applyAlignment="1">
      <alignment horizontal="center"/>
    </xf>
    <xf numFmtId="26" fontId="70" fillId="2" borderId="24" xfId="6" applyNumberFormat="1" applyFont="1" applyFill="1" applyBorder="1" applyAlignment="1">
      <alignment horizontal="center"/>
    </xf>
    <xf numFmtId="0" fontId="75" fillId="0" borderId="24" xfId="6" applyFont="1" applyBorder="1" applyAlignment="1">
      <alignment horizontal="left"/>
    </xf>
    <xf numFmtId="186" fontId="36" fillId="0" borderId="23" xfId="0" applyNumberFormat="1" applyFont="1" applyBorder="1" applyAlignment="1">
      <alignment horizontal="center"/>
    </xf>
    <xf numFmtId="0" fontId="69" fillId="0" borderId="23" xfId="6" applyFont="1" applyBorder="1" applyAlignment="1">
      <alignment horizontal="left"/>
    </xf>
    <xf numFmtId="14" fontId="36" fillId="0" borderId="24" xfId="0" applyNumberFormat="1" applyFont="1" applyBorder="1" applyAlignment="1">
      <alignment horizontal="center" vertical="center"/>
    </xf>
    <xf numFmtId="14" fontId="68" fillId="0" borderId="23" xfId="0" applyNumberFormat="1" applyFont="1" applyBorder="1" applyAlignment="1">
      <alignment horizontal="center" vertical="center"/>
    </xf>
    <xf numFmtId="0" fontId="68" fillId="0" borderId="23" xfId="0" applyFont="1" applyBorder="1" applyAlignment="1">
      <alignment horizontal="left" vertical="center"/>
    </xf>
    <xf numFmtId="0" fontId="36" fillId="0" borderId="23" xfId="0" applyFont="1" applyBorder="1" applyAlignment="1">
      <alignment vertical="center"/>
    </xf>
    <xf numFmtId="26" fontId="36" fillId="0" borderId="23" xfId="0" applyNumberFormat="1" applyFont="1" applyBorder="1" applyAlignment="1">
      <alignment vertical="center"/>
    </xf>
    <xf numFmtId="15" fontId="36" fillId="0" borderId="23" xfId="0" applyNumberFormat="1" applyFont="1" applyBorder="1" applyAlignment="1">
      <alignment horizontal="center"/>
    </xf>
    <xf numFmtId="0" fontId="75" fillId="0" borderId="23" xfId="6" applyFont="1" applyBorder="1" applyAlignment="1">
      <alignment horizontal="left"/>
    </xf>
    <xf numFmtId="0" fontId="75" fillId="0" borderId="24" xfId="6" applyFont="1" applyBorder="1" applyAlignment="1">
      <alignment horizontal="center" shrinkToFit="1"/>
    </xf>
    <xf numFmtId="0" fontId="68" fillId="0" borderId="23" xfId="0" applyFont="1" applyBorder="1" applyAlignment="1">
      <alignment wrapText="1"/>
    </xf>
    <xf numFmtId="14" fontId="68" fillId="0" borderId="23" xfId="0" applyNumberFormat="1" applyFont="1" applyFill="1" applyBorder="1" applyAlignment="1">
      <alignment horizontal="center" vertical="center"/>
    </xf>
    <xf numFmtId="0" fontId="68" fillId="0" borderId="23" xfId="0" applyFont="1" applyFill="1" applyBorder="1" applyAlignment="1">
      <alignment horizontal="left" vertical="center"/>
    </xf>
    <xf numFmtId="0" fontId="36" fillId="0" borderId="23" xfId="0" applyFont="1" applyFill="1" applyBorder="1" applyAlignment="1">
      <alignment horizontal="center" vertical="center"/>
    </xf>
    <xf numFmtId="0" fontId="36" fillId="0" borderId="23" xfId="0" applyFont="1" applyFill="1" applyBorder="1" applyAlignment="1">
      <alignment horizontal="left" vertical="center"/>
    </xf>
    <xf numFmtId="0" fontId="36" fillId="0" borderId="23" xfId="0" applyFont="1" applyFill="1" applyBorder="1" applyAlignment="1">
      <alignment vertical="center"/>
    </xf>
    <xf numFmtId="178" fontId="36" fillId="0" borderId="23" xfId="0" applyNumberFormat="1" applyFont="1" applyFill="1" applyBorder="1" applyAlignment="1">
      <alignment horizontal="center" vertical="center"/>
    </xf>
    <xf numFmtId="182" fontId="36" fillId="0" borderId="23" xfId="0" applyNumberFormat="1" applyFont="1" applyFill="1" applyBorder="1" applyAlignment="1">
      <alignment horizontal="center" vertical="center"/>
    </xf>
    <xf numFmtId="26" fontId="36" fillId="0" borderId="23" xfId="0" applyNumberFormat="1" applyFont="1" applyFill="1" applyBorder="1" applyAlignment="1">
      <alignment horizontal="center"/>
    </xf>
    <xf numFmtId="0" fontId="68" fillId="0" borderId="23" xfId="0" applyFont="1" applyFill="1" applyBorder="1" applyAlignment="1">
      <alignment horizontal="center" vertical="center"/>
    </xf>
    <xf numFmtId="187" fontId="36" fillId="0" borderId="23" xfId="0" applyNumberFormat="1" applyFont="1" applyFill="1" applyBorder="1" applyAlignment="1">
      <alignment horizontal="center" vertical="center"/>
    </xf>
    <xf numFmtId="26" fontId="36" fillId="0" borderId="23" xfId="0" applyNumberFormat="1" applyFont="1" applyFill="1" applyBorder="1" applyAlignment="1">
      <alignment horizontal="center" vertical="center"/>
    </xf>
    <xf numFmtId="187" fontId="36" fillId="0" borderId="23" xfId="0" applyNumberFormat="1" applyFont="1" applyFill="1" applyBorder="1" applyAlignment="1">
      <alignment horizontal="center"/>
    </xf>
    <xf numFmtId="15" fontId="36" fillId="0" borderId="23" xfId="0" applyNumberFormat="1" applyFont="1" applyFill="1" applyBorder="1" applyAlignment="1">
      <alignment horizontal="center"/>
    </xf>
    <xf numFmtId="0" fontId="36" fillId="0" borderId="23" xfId="0" applyFont="1" applyFill="1" applyBorder="1" applyAlignment="1">
      <alignment horizontal="center"/>
    </xf>
    <xf numFmtId="0" fontId="69" fillId="0" borderId="24" xfId="6" applyFont="1" applyFill="1" applyBorder="1" applyAlignment="1">
      <alignment horizontal="center" vertical="center"/>
    </xf>
    <xf numFmtId="178" fontId="70" fillId="0" borderId="67" xfId="0" applyNumberFormat="1" applyFont="1" applyFill="1" applyBorder="1" applyAlignment="1">
      <alignment horizontal="center" vertical="center"/>
    </xf>
    <xf numFmtId="0" fontId="70" fillId="0" borderId="23" xfId="0" applyFont="1" applyFill="1" applyBorder="1"/>
    <xf numFmtId="26" fontId="70" fillId="0" borderId="23" xfId="6" applyNumberFormat="1" applyFont="1" applyFill="1" applyBorder="1" applyAlignment="1">
      <alignment horizontal="center"/>
    </xf>
    <xf numFmtId="26" fontId="70" fillId="0" borderId="24" xfId="6" applyNumberFormat="1" applyFont="1" applyFill="1" applyBorder="1" applyAlignment="1">
      <alignment horizontal="center"/>
    </xf>
    <xf numFmtId="14" fontId="68" fillId="2" borderId="22" xfId="0" applyNumberFormat="1" applyFont="1" applyFill="1" applyBorder="1" applyAlignment="1">
      <alignment horizontal="center" vertical="center"/>
    </xf>
    <xf numFmtId="0" fontId="68" fillId="2" borderId="23" xfId="0" applyFont="1" applyFill="1" applyBorder="1" applyAlignment="1">
      <alignment horizontal="left" vertical="center"/>
    </xf>
    <xf numFmtId="0" fontId="36" fillId="2" borderId="23" xfId="0" applyFont="1" applyFill="1" applyBorder="1" applyAlignment="1">
      <alignment vertical="center"/>
    </xf>
    <xf numFmtId="0" fontId="68" fillId="2" borderId="23" xfId="0" applyFont="1" applyFill="1" applyBorder="1" applyAlignment="1">
      <alignment horizontal="center" vertical="center"/>
    </xf>
    <xf numFmtId="26" fontId="36" fillId="2" borderId="23" xfId="0" applyNumberFormat="1" applyFont="1" applyFill="1" applyBorder="1" applyAlignment="1">
      <alignment horizontal="center" vertical="center"/>
    </xf>
    <xf numFmtId="187" fontId="36" fillId="2" borderId="23" xfId="0" applyNumberFormat="1" applyFont="1" applyFill="1" applyBorder="1" applyAlignment="1">
      <alignment horizontal="center"/>
    </xf>
    <xf numFmtId="15" fontId="36" fillId="2" borderId="23" xfId="0" applyNumberFormat="1" applyFont="1" applyFill="1" applyBorder="1" applyAlignment="1">
      <alignment horizontal="center"/>
    </xf>
    <xf numFmtId="0" fontId="69" fillId="2" borderId="24" xfId="6" applyFont="1" applyFill="1" applyBorder="1" applyAlignment="1">
      <alignment horizontal="center" vertical="center"/>
    </xf>
    <xf numFmtId="14" fontId="36" fillId="0" borderId="47" xfId="0" applyNumberFormat="1" applyFont="1" applyBorder="1" applyAlignment="1">
      <alignment horizontal="center"/>
    </xf>
    <xf numFmtId="0" fontId="76" fillId="0" borderId="56" xfId="0" applyFont="1" applyBorder="1" applyAlignment="1">
      <alignment wrapText="1"/>
    </xf>
    <xf numFmtId="180" fontId="36" fillId="0" borderId="56" xfId="0" applyNumberFormat="1" applyFont="1" applyBorder="1" applyAlignment="1">
      <alignment horizontal="center"/>
    </xf>
    <xf numFmtId="0" fontId="36" fillId="0" borderId="56" xfId="0" applyFont="1" applyBorder="1"/>
    <xf numFmtId="178" fontId="36" fillId="0" borderId="56" xfId="0" applyNumberFormat="1" applyFont="1" applyBorder="1" applyAlignment="1">
      <alignment horizontal="center" vertical="center"/>
    </xf>
    <xf numFmtId="182" fontId="36" fillId="0" borderId="56" xfId="0" applyNumberFormat="1" applyFont="1" applyBorder="1" applyAlignment="1">
      <alignment horizontal="center" vertical="center"/>
    </xf>
    <xf numFmtId="178" fontId="36" fillId="0" borderId="56" xfId="0" applyNumberFormat="1" applyFont="1" applyBorder="1" applyAlignment="1">
      <alignment horizontal="center"/>
    </xf>
    <xf numFmtId="0" fontId="36" fillId="0" borderId="56" xfId="0" applyFont="1" applyBorder="1" applyAlignment="1">
      <alignment horizontal="center" vertical="center"/>
    </xf>
    <xf numFmtId="187" fontId="36" fillId="0" borderId="56" xfId="0" applyNumberFormat="1" applyFont="1" applyBorder="1" applyAlignment="1">
      <alignment horizontal="center" vertical="center"/>
    </xf>
    <xf numFmtId="26" fontId="36" fillId="0" borderId="56" xfId="0" applyNumberFormat="1" applyFont="1" applyBorder="1" applyAlignment="1">
      <alignment horizontal="center"/>
    </xf>
    <xf numFmtId="0" fontId="36" fillId="0" borderId="56" xfId="0" applyFont="1" applyBorder="1" applyAlignment="1">
      <alignment horizontal="center"/>
    </xf>
    <xf numFmtId="0" fontId="75" fillId="0" borderId="56" xfId="6" applyFont="1" applyBorder="1" applyAlignment="1">
      <alignment horizontal="left"/>
    </xf>
    <xf numFmtId="0" fontId="75" fillId="0" borderId="48" xfId="6" applyFont="1" applyBorder="1" applyAlignment="1">
      <alignment horizontal="left"/>
    </xf>
    <xf numFmtId="178" fontId="70" fillId="0" borderId="65" xfId="0" applyNumberFormat="1" applyFont="1" applyBorder="1" applyAlignment="1">
      <alignment horizontal="center" vertical="center"/>
    </xf>
    <xf numFmtId="0" fontId="70" fillId="0" borderId="56" xfId="0" applyFont="1" applyBorder="1"/>
    <xf numFmtId="26" fontId="70" fillId="0" borderId="56" xfId="6" applyNumberFormat="1" applyFont="1" applyBorder="1" applyAlignment="1">
      <alignment horizontal="center"/>
    </xf>
    <xf numFmtId="26" fontId="70" fillId="0" borderId="48" xfId="6" applyNumberFormat="1" applyFont="1" applyBorder="1" applyAlignment="1">
      <alignment horizontal="center"/>
    </xf>
    <xf numFmtId="178" fontId="0" fillId="0" borderId="0" xfId="0" applyNumberFormat="1" applyAlignment="1">
      <alignment horizontal="center"/>
    </xf>
    <xf numFmtId="182" fontId="0" fillId="0" borderId="0" xfId="0" applyNumberFormat="1"/>
    <xf numFmtId="189" fontId="0" fillId="0" borderId="0" xfId="0" applyNumberFormat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181" fontId="17" fillId="3" borderId="84" xfId="0" applyNumberFormat="1" applyFont="1" applyFill="1" applyBorder="1" applyAlignment="1">
      <alignment horizontal="center"/>
    </xf>
    <xf numFmtId="0" fontId="77" fillId="0" borderId="43" xfId="0" applyFont="1" applyBorder="1" applyAlignment="1">
      <alignment horizontal="center" vertical="center"/>
    </xf>
    <xf numFmtId="0" fontId="77" fillId="0" borderId="55" xfId="0" applyFont="1" applyBorder="1" applyAlignment="1">
      <alignment horizontal="center"/>
    </xf>
    <xf numFmtId="180" fontId="77" fillId="0" borderId="55" xfId="0" applyNumberFormat="1" applyFont="1" applyBorder="1" applyAlignment="1">
      <alignment horizontal="center" vertical="center"/>
    </xf>
    <xf numFmtId="177" fontId="77" fillId="0" borderId="55" xfId="0" applyNumberFormat="1" applyFont="1" applyBorder="1" applyAlignment="1">
      <alignment horizontal="center"/>
    </xf>
    <xf numFmtId="26" fontId="77" fillId="0" borderId="62" xfId="0" applyNumberFormat="1" applyFont="1" applyBorder="1" applyAlignment="1">
      <alignment horizontal="center"/>
    </xf>
    <xf numFmtId="26" fontId="77" fillId="0" borderId="44" xfId="0" applyNumberFormat="1" applyFont="1" applyBorder="1" applyAlignment="1">
      <alignment horizontal="center"/>
    </xf>
    <xf numFmtId="0" fontId="77" fillId="0" borderId="22" xfId="0" applyFont="1" applyBorder="1" applyAlignment="1">
      <alignment horizontal="center" vertical="center"/>
    </xf>
    <xf numFmtId="0" fontId="77" fillId="0" borderId="23" xfId="0" applyFont="1" applyBorder="1" applyAlignment="1">
      <alignment horizontal="center"/>
    </xf>
    <xf numFmtId="180" fontId="77" fillId="0" borderId="23" xfId="0" applyNumberFormat="1" applyFont="1" applyBorder="1" applyAlignment="1">
      <alignment horizontal="center" vertical="center"/>
    </xf>
    <xf numFmtId="177" fontId="77" fillId="0" borderId="23" xfId="0" applyNumberFormat="1" applyFont="1" applyBorder="1" applyAlignment="1">
      <alignment horizontal="center"/>
    </xf>
    <xf numFmtId="26" fontId="77" fillId="0" borderId="33" xfId="0" applyNumberFormat="1" applyFont="1" applyBorder="1" applyAlignment="1">
      <alignment horizontal="center"/>
    </xf>
    <xf numFmtId="26" fontId="77" fillId="0" borderId="24" xfId="0" applyNumberFormat="1" applyFont="1" applyBorder="1" applyAlignment="1">
      <alignment horizontal="center"/>
    </xf>
    <xf numFmtId="0" fontId="77" fillId="0" borderId="23" xfId="0" applyFont="1" applyBorder="1"/>
    <xf numFmtId="0" fontId="77" fillId="0" borderId="23" xfId="0" applyFont="1" applyBorder="1" applyAlignment="1">
      <alignment horizontal="center" vertical="center"/>
    </xf>
    <xf numFmtId="0" fontId="77" fillId="0" borderId="23" xfId="0" applyFont="1" applyBorder="1" applyAlignment="1">
      <alignment horizontal="left"/>
    </xf>
    <xf numFmtId="178" fontId="77" fillId="0" borderId="23" xfId="0" applyNumberFormat="1" applyFont="1" applyBorder="1" applyAlignment="1">
      <alignment horizontal="center" vertical="center"/>
    </xf>
    <xf numFmtId="182" fontId="77" fillId="0" borderId="23" xfId="0" applyNumberFormat="1" applyFont="1" applyBorder="1" applyAlignment="1">
      <alignment horizontal="center"/>
    </xf>
    <xf numFmtId="15" fontId="77" fillId="0" borderId="23" xfId="0" applyNumberFormat="1" applyFont="1" applyBorder="1" applyAlignment="1">
      <alignment horizontal="center"/>
    </xf>
    <xf numFmtId="26" fontId="77" fillId="0" borderId="23" xfId="0" applyNumberFormat="1" applyFont="1" applyBorder="1" applyAlignment="1">
      <alignment horizontal="center"/>
    </xf>
    <xf numFmtId="190" fontId="77" fillId="0" borderId="23" xfId="0" applyNumberFormat="1" applyFont="1" applyBorder="1" applyAlignment="1">
      <alignment horizontal="center"/>
    </xf>
    <xf numFmtId="0" fontId="77" fillId="12" borderId="23" xfId="0" applyFont="1" applyFill="1" applyBorder="1" applyAlignment="1">
      <alignment horizontal="left"/>
    </xf>
    <xf numFmtId="0" fontId="77" fillId="12" borderId="23" xfId="0" applyFont="1" applyFill="1" applyBorder="1" applyAlignment="1">
      <alignment horizontal="center"/>
    </xf>
    <xf numFmtId="178" fontId="77" fillId="0" borderId="23" xfId="0" applyNumberFormat="1" applyFont="1" applyBorder="1" applyAlignment="1">
      <alignment horizontal="center"/>
    </xf>
    <xf numFmtId="177" fontId="77" fillId="12" borderId="23" xfId="0" applyNumberFormat="1" applyFont="1" applyFill="1" applyBorder="1" applyAlignment="1">
      <alignment horizontal="center" vertical="center"/>
    </xf>
    <xf numFmtId="15" fontId="77" fillId="12" borderId="23" xfId="0" applyNumberFormat="1" applyFont="1" applyFill="1" applyBorder="1" applyAlignment="1">
      <alignment horizontal="center"/>
    </xf>
    <xf numFmtId="26" fontId="77" fillId="0" borderId="24" xfId="0" applyNumberFormat="1" applyFont="1" applyBorder="1" applyAlignment="1">
      <alignment horizontal="center" vertical="center"/>
    </xf>
    <xf numFmtId="26" fontId="78" fillId="0" borderId="23" xfId="0" applyNumberFormat="1" applyFont="1" applyBorder="1" applyAlignment="1">
      <alignment horizontal="center"/>
    </xf>
    <xf numFmtId="14" fontId="77" fillId="0" borderId="22" xfId="0" applyNumberFormat="1" applyFont="1" applyBorder="1" applyAlignment="1">
      <alignment horizontal="center" vertical="center"/>
    </xf>
    <xf numFmtId="14" fontId="77" fillId="0" borderId="23" xfId="0" applyNumberFormat="1" applyFont="1" applyBorder="1" applyAlignment="1">
      <alignment horizontal="center"/>
    </xf>
    <xf numFmtId="0" fontId="61" fillId="0" borderId="42" xfId="6" applyFont="1" applyBorder="1" applyAlignment="1">
      <alignment horizontal="center" vertical="center"/>
    </xf>
    <xf numFmtId="26" fontId="77" fillId="0" borderId="23" xfId="0" applyNumberFormat="1" applyFont="1" applyFill="1" applyBorder="1" applyAlignment="1">
      <alignment horizontal="center"/>
    </xf>
    <xf numFmtId="178" fontId="77" fillId="0" borderId="23" xfId="0" applyNumberFormat="1" applyFont="1" applyFill="1" applyBorder="1" applyAlignment="1">
      <alignment horizontal="center"/>
    </xf>
    <xf numFmtId="0" fontId="77" fillId="0" borderId="23" xfId="0" applyFont="1" applyFill="1" applyBorder="1" applyAlignment="1">
      <alignment horizontal="center"/>
    </xf>
    <xf numFmtId="26" fontId="79" fillId="0" borderId="23" xfId="0" applyNumberFormat="1" applyFont="1" applyBorder="1" applyAlignment="1">
      <alignment horizontal="center"/>
    </xf>
    <xf numFmtId="14" fontId="77" fillId="0" borderId="23" xfId="0" applyNumberFormat="1" applyFont="1" applyBorder="1" applyAlignment="1">
      <alignment horizontal="center" vertical="center"/>
    </xf>
    <xf numFmtId="0" fontId="80" fillId="0" borderId="84" xfId="6" applyFont="1" applyBorder="1" applyAlignment="1">
      <alignment horizontal="center" vertical="center" wrapText="1"/>
    </xf>
    <xf numFmtId="14" fontId="81" fillId="0" borderId="22" xfId="0" applyNumberFormat="1" applyFont="1" applyBorder="1" applyAlignment="1">
      <alignment horizontal="center" vertical="center"/>
    </xf>
    <xf numFmtId="0" fontId="82" fillId="0" borderId="24" xfId="6" applyFont="1" applyBorder="1" applyAlignment="1">
      <alignment horizontal="center" vertical="center"/>
    </xf>
    <xf numFmtId="185" fontId="77" fillId="0" borderId="23" xfId="0" applyNumberFormat="1" applyFont="1" applyBorder="1" applyAlignment="1">
      <alignment horizontal="center"/>
    </xf>
    <xf numFmtId="26" fontId="77" fillId="0" borderId="33" xfId="0" applyNumberFormat="1" applyFont="1" applyBorder="1" applyAlignment="1">
      <alignment horizontal="center" vertical="center"/>
    </xf>
    <xf numFmtId="14" fontId="77" fillId="0" borderId="47" xfId="0" applyNumberFormat="1" applyFont="1" applyBorder="1" applyAlignment="1">
      <alignment horizontal="center" vertical="center"/>
    </xf>
    <xf numFmtId="0" fontId="77" fillId="0" borderId="56" xfId="0" applyFont="1" applyBorder="1"/>
    <xf numFmtId="0" fontId="77" fillId="0" borderId="56" xfId="0" applyFont="1" applyBorder="1" applyAlignment="1">
      <alignment horizontal="center" vertical="center"/>
    </xf>
    <xf numFmtId="0" fontId="77" fillId="0" borderId="56" xfId="0" applyFont="1" applyBorder="1" applyAlignment="1">
      <alignment horizontal="left"/>
    </xf>
    <xf numFmtId="26" fontId="79" fillId="0" borderId="56" xfId="0" applyNumberFormat="1" applyFont="1" applyBorder="1" applyAlignment="1">
      <alignment horizontal="center"/>
    </xf>
    <xf numFmtId="185" fontId="77" fillId="0" borderId="56" xfId="0" applyNumberFormat="1" applyFont="1" applyBorder="1" applyAlignment="1">
      <alignment horizontal="center"/>
    </xf>
    <xf numFmtId="177" fontId="77" fillId="0" borderId="56" xfId="0" applyNumberFormat="1" applyFont="1" applyBorder="1" applyAlignment="1">
      <alignment horizontal="center"/>
    </xf>
    <xf numFmtId="177" fontId="77" fillId="0" borderId="56" xfId="0" applyNumberFormat="1" applyFont="1" applyBorder="1"/>
    <xf numFmtId="14" fontId="77" fillId="0" borderId="56" xfId="0" applyNumberFormat="1" applyFont="1" applyBorder="1" applyAlignment="1">
      <alignment horizontal="center"/>
    </xf>
    <xf numFmtId="26" fontId="77" fillId="0" borderId="64" xfId="0" applyNumberFormat="1" applyFont="1" applyBorder="1" applyAlignment="1">
      <alignment horizontal="center" vertical="center"/>
    </xf>
    <xf numFmtId="0" fontId="80" fillId="0" borderId="48" xfId="6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77" fillId="0" borderId="52" xfId="0" applyFont="1" applyBorder="1"/>
    <xf numFmtId="178" fontId="0" fillId="0" borderId="44" xfId="0" applyNumberFormat="1" applyBorder="1" applyAlignment="1">
      <alignment horizontal="right"/>
    </xf>
    <xf numFmtId="14" fontId="0" fillId="0" borderId="77" xfId="0" applyNumberFormat="1" applyBorder="1" applyAlignment="1">
      <alignment horizontal="center" vertical="center"/>
    </xf>
    <xf numFmtId="0" fontId="77" fillId="0" borderId="67" xfId="0" applyFont="1" applyBorder="1"/>
    <xf numFmtId="178" fontId="0" fillId="0" borderId="24" xfId="0" applyNumberFormat="1" applyBorder="1" applyAlignment="1">
      <alignment horizontal="right"/>
    </xf>
    <xf numFmtId="26" fontId="0" fillId="0" borderId="0" xfId="0" applyNumberFormat="1" applyAlignment="1">
      <alignment horizontal="center"/>
    </xf>
    <xf numFmtId="0" fontId="0" fillId="0" borderId="69" xfId="0" applyBorder="1" applyAlignment="1">
      <alignment horizontal="center"/>
    </xf>
    <xf numFmtId="191" fontId="0" fillId="0" borderId="76" xfId="0" applyNumberFormat="1" applyBorder="1" applyAlignment="1">
      <alignment horizontal="center"/>
    </xf>
    <xf numFmtId="0" fontId="77" fillId="0" borderId="68" xfId="0" applyFont="1" applyBorder="1"/>
    <xf numFmtId="178" fontId="0" fillId="0" borderId="46" xfId="0" applyNumberFormat="1" applyBorder="1" applyAlignment="1">
      <alignment horizontal="right"/>
    </xf>
    <xf numFmtId="0" fontId="0" fillId="0" borderId="85" xfId="0" applyBorder="1" applyAlignment="1">
      <alignment horizontal="center"/>
    </xf>
    <xf numFmtId="0" fontId="83" fillId="0" borderId="52" xfId="0" applyFont="1" applyBorder="1" applyAlignment="1">
      <alignment horizontal="center"/>
    </xf>
    <xf numFmtId="192" fontId="84" fillId="0" borderId="44" xfId="0" applyNumberFormat="1" applyFont="1" applyBorder="1" applyAlignment="1">
      <alignment horizontal="center"/>
    </xf>
    <xf numFmtId="0" fontId="0" fillId="0" borderId="76" xfId="0" applyBorder="1" applyAlignment="1">
      <alignment horizontal="center"/>
    </xf>
    <xf numFmtId="0" fontId="83" fillId="0" borderId="65" xfId="0" applyFont="1" applyBorder="1" applyAlignment="1">
      <alignment horizontal="center" vertical="center"/>
    </xf>
    <xf numFmtId="193" fontId="84" fillId="0" borderId="48" xfId="0" applyNumberFormat="1" applyFont="1" applyBorder="1" applyAlignment="1">
      <alignment horizontal="center" vertical="center"/>
    </xf>
    <xf numFmtId="0" fontId="85" fillId="0" borderId="0" xfId="0" applyFont="1"/>
    <xf numFmtId="24" fontId="0" fillId="0" borderId="0" xfId="0" applyNumberFormat="1" applyAlignment="1">
      <alignment horizontal="center"/>
    </xf>
    <xf numFmtId="178" fontId="77" fillId="0" borderId="0" xfId="0" applyNumberFormat="1" applyFont="1" applyAlignment="1">
      <alignment horizontal="left"/>
    </xf>
    <xf numFmtId="0" fontId="86" fillId="26" borderId="43" xfId="0" applyFont="1" applyFill="1" applyBorder="1" applyAlignment="1">
      <alignment horizontal="center" vertical="center" wrapText="1"/>
    </xf>
    <xf numFmtId="0" fontId="87" fillId="26" borderId="55" xfId="0" applyFont="1" applyFill="1" applyBorder="1" applyAlignment="1">
      <alignment horizontal="center" vertical="center" wrapText="1"/>
    </xf>
    <xf numFmtId="0" fontId="77" fillId="0" borderId="44" xfId="0" applyFont="1" applyBorder="1"/>
    <xf numFmtId="0" fontId="77" fillId="0" borderId="0" xfId="0" applyFont="1"/>
    <xf numFmtId="0" fontId="86" fillId="26" borderId="22" xfId="0" applyFont="1" applyFill="1" applyBorder="1" applyAlignment="1">
      <alignment horizontal="center" vertical="center" wrapText="1"/>
    </xf>
    <xf numFmtId="0" fontId="87" fillId="26" borderId="23" xfId="0" applyFont="1" applyFill="1" applyBorder="1" applyAlignment="1">
      <alignment horizontal="center" vertical="center" wrapText="1"/>
    </xf>
    <xf numFmtId="0" fontId="77" fillId="0" borderId="24" xfId="0" applyFont="1" applyBorder="1"/>
    <xf numFmtId="0" fontId="86" fillId="26" borderId="47" xfId="0" applyFont="1" applyFill="1" applyBorder="1" applyAlignment="1">
      <alignment horizontal="center" vertical="center" wrapText="1"/>
    </xf>
    <xf numFmtId="0" fontId="87" fillId="26" borderId="56" xfId="0" applyFont="1" applyFill="1" applyBorder="1" applyAlignment="1">
      <alignment horizontal="center" vertical="center" wrapText="1"/>
    </xf>
    <xf numFmtId="0" fontId="77" fillId="0" borderId="48" xfId="0" applyFont="1" applyBorder="1"/>
    <xf numFmtId="24" fontId="77" fillId="0" borderId="0" xfId="0" applyNumberFormat="1" applyFont="1" applyAlignment="1">
      <alignment horizontal="center"/>
    </xf>
    <xf numFmtId="178" fontId="88" fillId="0" borderId="0" xfId="0" applyNumberFormat="1" applyFont="1" applyAlignment="1">
      <alignment horizontal="center"/>
    </xf>
    <xf numFmtId="26" fontId="3" fillId="0" borderId="37" xfId="0" applyNumberFormat="1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88" fillId="0" borderId="0" xfId="0" applyFont="1" applyAlignment="1">
      <alignment horizontal="center"/>
    </xf>
    <xf numFmtId="192" fontId="88" fillId="0" borderId="0" xfId="0" applyNumberFormat="1" applyFont="1" applyAlignment="1">
      <alignment horizontal="center"/>
    </xf>
    <xf numFmtId="26" fontId="89" fillId="0" borderId="37" xfId="0" applyNumberFormat="1" applyFont="1" applyBorder="1" applyAlignment="1">
      <alignment horizontal="left"/>
    </xf>
    <xf numFmtId="178" fontId="89" fillId="0" borderId="37" xfId="0" applyNumberFormat="1" applyFont="1" applyBorder="1" applyAlignment="1">
      <alignment horizontal="left" vertical="center"/>
    </xf>
    <xf numFmtId="15" fontId="0" fillId="0" borderId="37" xfId="0" applyNumberFormat="1" applyBorder="1" applyAlignment="1">
      <alignment horizontal="center" vertical="center"/>
    </xf>
    <xf numFmtId="187" fontId="88" fillId="27" borderId="1" xfId="0" applyNumberFormat="1" applyFont="1" applyFill="1" applyBorder="1" applyAlignment="1">
      <alignment horizontal="center" vertical="center"/>
    </xf>
    <xf numFmtId="0" fontId="88" fillId="27" borderId="38" xfId="0" applyFont="1" applyFill="1" applyBorder="1" applyAlignment="1">
      <alignment horizontal="center"/>
    </xf>
    <xf numFmtId="0" fontId="0" fillId="0" borderId="39" xfId="0" applyBorder="1"/>
    <xf numFmtId="0" fontId="88" fillId="27" borderId="1" xfId="0" applyFont="1" applyFill="1" applyBorder="1" applyAlignment="1">
      <alignment horizontal="right"/>
    </xf>
    <xf numFmtId="14" fontId="88" fillId="27" borderId="2" xfId="0" applyNumberFormat="1" applyFont="1" applyFill="1" applyBorder="1" applyAlignment="1">
      <alignment horizontal="center" vertical="center"/>
    </xf>
    <xf numFmtId="26" fontId="3" fillId="0" borderId="69" xfId="0" applyNumberFormat="1" applyFont="1" applyBorder="1" applyAlignment="1">
      <alignment horizontal="center"/>
    </xf>
    <xf numFmtId="0" fontId="89" fillId="0" borderId="3" xfId="0" applyFont="1" applyBorder="1" applyAlignment="1">
      <alignment horizontal="left"/>
    </xf>
    <xf numFmtId="178" fontId="89" fillId="0" borderId="37" xfId="0" applyNumberFormat="1" applyFont="1" applyBorder="1" applyAlignment="1">
      <alignment horizontal="center" vertical="center"/>
    </xf>
    <xf numFmtId="190" fontId="88" fillId="12" borderId="41" xfId="0" applyNumberFormat="1" applyFont="1" applyFill="1" applyBorder="1" applyAlignment="1">
      <alignment horizontal="center"/>
    </xf>
    <xf numFmtId="0" fontId="0" fillId="12" borderId="38" xfId="0" applyFill="1" applyBorder="1"/>
    <xf numFmtId="0" fontId="90" fillId="12" borderId="40" xfId="0" applyFont="1" applyFill="1" applyBorder="1" applyAlignment="1">
      <alignment horizontal="center"/>
    </xf>
    <xf numFmtId="0" fontId="0" fillId="0" borderId="40" xfId="0" applyBorder="1"/>
    <xf numFmtId="0" fontId="88" fillId="12" borderId="39" xfId="0" applyFont="1" applyFill="1" applyBorder="1" applyAlignment="1">
      <alignment horizontal="right"/>
    </xf>
    <xf numFmtId="26" fontId="89" fillId="12" borderId="39" xfId="0" applyNumberFormat="1" applyFont="1" applyFill="1" applyBorder="1" applyAlignment="1">
      <alignment horizontal="center"/>
    </xf>
    <xf numFmtId="26" fontId="89" fillId="0" borderId="71" xfId="0" applyNumberFormat="1" applyFont="1" applyBorder="1" applyAlignment="1">
      <alignment horizontal="left"/>
    </xf>
    <xf numFmtId="0" fontId="89" fillId="0" borderId="3" xfId="0" applyFont="1" applyBorder="1"/>
    <xf numFmtId="0" fontId="91" fillId="0" borderId="37" xfId="0" applyFont="1" applyBorder="1"/>
    <xf numFmtId="0" fontId="0" fillId="0" borderId="37" xfId="0" applyBorder="1" applyAlignment="1">
      <alignment horizontal="center" vertical="center"/>
    </xf>
    <xf numFmtId="0" fontId="88" fillId="12" borderId="41" xfId="0" applyFont="1" applyFill="1" applyBorder="1" applyAlignment="1">
      <alignment horizontal="center" vertical="center"/>
    </xf>
    <xf numFmtId="0" fontId="17" fillId="12" borderId="41" xfId="0" applyFont="1" applyFill="1" applyBorder="1" applyAlignment="1">
      <alignment horizontal="center"/>
    </xf>
    <xf numFmtId="180" fontId="17" fillId="12" borderId="0" xfId="0" applyNumberFormat="1" applyFont="1" applyFill="1" applyAlignment="1">
      <alignment horizontal="center"/>
    </xf>
    <xf numFmtId="0" fontId="17" fillId="12" borderId="0" xfId="0" applyFont="1" applyFill="1" applyAlignment="1">
      <alignment horizontal="center"/>
    </xf>
    <xf numFmtId="0" fontId="17" fillId="12" borderId="42" xfId="0" applyFont="1" applyFill="1" applyBorder="1" applyAlignment="1">
      <alignment horizontal="center"/>
    </xf>
    <xf numFmtId="26" fontId="88" fillId="12" borderId="0" xfId="0" applyNumberFormat="1" applyFont="1" applyFill="1" applyAlignment="1">
      <alignment horizontal="right" vertical="center"/>
    </xf>
    <xf numFmtId="178" fontId="89" fillId="12" borderId="0" xfId="0" applyNumberFormat="1" applyFont="1" applyFill="1" applyAlignment="1">
      <alignment horizontal="center" vertical="center"/>
    </xf>
    <xf numFmtId="0" fontId="89" fillId="0" borderId="71" xfId="0" applyFont="1" applyBorder="1" applyAlignment="1">
      <alignment horizontal="left"/>
    </xf>
    <xf numFmtId="26" fontId="88" fillId="12" borderId="41" xfId="0" applyNumberFormat="1" applyFont="1" applyFill="1" applyBorder="1" applyAlignment="1">
      <alignment horizontal="center"/>
    </xf>
    <xf numFmtId="26" fontId="17" fillId="12" borderId="49" xfId="0" applyNumberFormat="1" applyFont="1" applyFill="1" applyBorder="1" applyAlignment="1">
      <alignment horizontal="center"/>
    </xf>
    <xf numFmtId="26" fontId="17" fillId="12" borderId="51" xfId="0" applyNumberFormat="1" applyFont="1" applyFill="1" applyBorder="1" applyAlignment="1">
      <alignment horizontal="center"/>
    </xf>
    <xf numFmtId="26" fontId="17" fillId="12" borderId="50" xfId="0" applyNumberFormat="1" applyFont="1" applyFill="1" applyBorder="1" applyAlignment="1">
      <alignment horizontal="center"/>
    </xf>
    <xf numFmtId="0" fontId="1" fillId="12" borderId="0" xfId="0" applyFont="1" applyFill="1" applyAlignment="1">
      <alignment horizontal="right"/>
    </xf>
    <xf numFmtId="26" fontId="89" fillId="12" borderId="0" xfId="0" applyNumberFormat="1" applyFont="1" applyFill="1" applyAlignment="1">
      <alignment horizontal="center"/>
    </xf>
    <xf numFmtId="0" fontId="89" fillId="0" borderId="71" xfId="0" applyFont="1" applyBorder="1"/>
    <xf numFmtId="0" fontId="92" fillId="28" borderId="3" xfId="0" applyFont="1" applyFill="1" applyBorder="1" applyAlignment="1">
      <alignment horizontal="center"/>
    </xf>
    <xf numFmtId="178" fontId="89" fillId="28" borderId="37" xfId="0" applyNumberFormat="1" applyFont="1" applyFill="1" applyBorder="1" applyAlignment="1">
      <alignment horizontal="center"/>
    </xf>
    <xf numFmtId="15" fontId="1" fillId="28" borderId="37" xfId="0" applyNumberFormat="1" applyFont="1" applyFill="1" applyBorder="1" applyAlignment="1">
      <alignment horizontal="center" vertical="center"/>
    </xf>
    <xf numFmtId="26" fontId="88" fillId="6" borderId="38" xfId="0" applyNumberFormat="1" applyFont="1" applyFill="1" applyBorder="1" applyAlignment="1">
      <alignment horizontal="center"/>
    </xf>
    <xf numFmtId="26" fontId="88" fillId="3" borderId="78" xfId="0" applyNumberFormat="1" applyFont="1" applyFill="1" applyBorder="1" applyAlignment="1">
      <alignment horizontal="center"/>
    </xf>
    <xf numFmtId="0" fontId="88" fillId="12" borderId="49" xfId="0" applyFont="1" applyFill="1" applyBorder="1" applyAlignment="1">
      <alignment horizontal="right" vertical="center"/>
    </xf>
    <xf numFmtId="26" fontId="89" fillId="12" borderId="51" xfId="0" applyNumberFormat="1" applyFont="1" applyFill="1" applyBorder="1" applyAlignment="1">
      <alignment horizontal="center" vertical="center"/>
    </xf>
    <xf numFmtId="26" fontId="17" fillId="28" borderId="3" xfId="0" applyNumberFormat="1" applyFont="1" applyFill="1" applyBorder="1" applyAlignment="1">
      <alignment horizontal="center"/>
    </xf>
    <xf numFmtId="178" fontId="1" fillId="28" borderId="37" xfId="0" applyNumberFormat="1" applyFont="1" applyFill="1" applyBorder="1" applyAlignment="1">
      <alignment horizontal="center"/>
    </xf>
    <xf numFmtId="0" fontId="88" fillId="6" borderId="41" xfId="0" applyFont="1" applyFill="1" applyBorder="1" applyAlignment="1">
      <alignment horizontal="center"/>
    </xf>
    <xf numFmtId="0" fontId="88" fillId="6" borderId="0" xfId="0" applyFont="1" applyFill="1" applyAlignment="1">
      <alignment horizontal="center" vertical="center"/>
    </xf>
    <xf numFmtId="178" fontId="89" fillId="3" borderId="78" xfId="0" applyNumberFormat="1" applyFont="1" applyFill="1" applyBorder="1" applyAlignment="1">
      <alignment horizontal="center" vertical="center"/>
    </xf>
    <xf numFmtId="26" fontId="88" fillId="3" borderId="42" xfId="0" applyNumberFormat="1" applyFont="1" applyFill="1" applyBorder="1" applyAlignment="1">
      <alignment horizontal="right"/>
    </xf>
    <xf numFmtId="178" fontId="89" fillId="3" borderId="0" xfId="0" applyNumberFormat="1" applyFont="1" applyFill="1" applyAlignment="1">
      <alignment horizontal="center" vertical="center"/>
    </xf>
    <xf numFmtId="0" fontId="92" fillId="29" borderId="71" xfId="0" applyFont="1" applyFill="1" applyBorder="1" applyAlignment="1">
      <alignment horizontal="center"/>
    </xf>
    <xf numFmtId="178" fontId="3" fillId="30" borderId="3" xfId="0" applyNumberFormat="1" applyFont="1" applyFill="1" applyBorder="1" applyAlignment="1">
      <alignment horizontal="center"/>
    </xf>
    <xf numFmtId="178" fontId="1" fillId="30" borderId="37" xfId="0" applyNumberFormat="1" applyFont="1" applyFill="1" applyBorder="1" applyAlignment="1">
      <alignment horizontal="center"/>
    </xf>
    <xf numFmtId="0" fontId="1" fillId="30" borderId="37" xfId="0" applyFont="1" applyFill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187" fontId="0" fillId="0" borderId="55" xfId="0" applyNumberFormat="1" applyBorder="1" applyAlignment="1">
      <alignment horizontal="center" vertical="center"/>
    </xf>
    <xf numFmtId="15" fontId="0" fillId="0" borderId="55" xfId="0" applyNumberFormat="1" applyBorder="1" applyAlignment="1">
      <alignment horizontal="center" vertical="center"/>
    </xf>
    <xf numFmtId="0" fontId="87" fillId="0" borderId="55" xfId="0" applyFont="1" applyBorder="1" applyAlignment="1">
      <alignment horizontal="center" vertical="center" wrapText="1"/>
    </xf>
    <xf numFmtId="26" fontId="0" fillId="0" borderId="55" xfId="0" applyNumberFormat="1" applyBorder="1" applyAlignment="1">
      <alignment horizontal="center" vertical="center"/>
    </xf>
    <xf numFmtId="180" fontId="0" fillId="0" borderId="62" xfId="0" applyNumberFormat="1" applyBorder="1" applyAlignment="1">
      <alignment horizontal="center" vertical="center"/>
    </xf>
    <xf numFmtId="26" fontId="17" fillId="29" borderId="71" xfId="0" applyNumberFormat="1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187" fontId="0" fillId="0" borderId="16" xfId="0" applyNumberFormat="1" applyBorder="1" applyAlignment="1">
      <alignment horizontal="center" vertical="center"/>
    </xf>
    <xf numFmtId="15" fontId="0" fillId="0" borderId="16" xfId="0" applyNumberFormat="1" applyBorder="1" applyAlignment="1">
      <alignment horizontal="center" vertical="center"/>
    </xf>
    <xf numFmtId="0" fontId="87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26" fontId="0" fillId="0" borderId="16" xfId="0" applyNumberFormat="1" applyBorder="1" applyAlignment="1">
      <alignment horizontal="center" vertical="center"/>
    </xf>
    <xf numFmtId="26" fontId="77" fillId="0" borderId="16" xfId="0" applyNumberFormat="1" applyFont="1" applyBorder="1" applyAlignment="1">
      <alignment horizontal="center" vertical="center"/>
    </xf>
    <xf numFmtId="180" fontId="77" fillId="0" borderId="33" xfId="0" applyNumberFormat="1" applyFont="1" applyBorder="1" applyAlignment="1">
      <alignment horizontal="center" vertical="center"/>
    </xf>
    <xf numFmtId="26" fontId="1" fillId="29" borderId="71" xfId="0" applyNumberFormat="1" applyFont="1" applyFill="1" applyBorder="1" applyAlignment="1">
      <alignment horizontal="center"/>
    </xf>
    <xf numFmtId="0" fontId="77" fillId="0" borderId="16" xfId="0" applyFont="1" applyBorder="1" applyAlignment="1">
      <alignment horizontal="center" vertical="center"/>
    </xf>
    <xf numFmtId="26" fontId="91" fillId="29" borderId="71" xfId="0" applyNumberFormat="1" applyFont="1" applyFill="1" applyBorder="1" applyAlignment="1">
      <alignment horizontal="center"/>
    </xf>
    <xf numFmtId="26" fontId="0" fillId="29" borderId="71" xfId="0" applyNumberFormat="1" applyFill="1" applyBorder="1" applyAlignment="1">
      <alignment horizontal="center"/>
    </xf>
    <xf numFmtId="181" fontId="0" fillId="29" borderId="71" xfId="0" applyNumberFormat="1" applyFill="1" applyBorder="1" applyAlignment="1">
      <alignment horizontal="center" vertical="center"/>
    </xf>
    <xf numFmtId="178" fontId="77" fillId="0" borderId="16" xfId="0" applyNumberFormat="1" applyFont="1" applyBorder="1" applyAlignment="1">
      <alignment horizontal="center" vertical="center"/>
    </xf>
    <xf numFmtId="187" fontId="77" fillId="0" borderId="16" xfId="0" applyNumberFormat="1" applyFont="1" applyBorder="1" applyAlignment="1">
      <alignment horizontal="center" vertical="center"/>
    </xf>
    <xf numFmtId="15" fontId="77" fillId="0" borderId="16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87" fontId="77" fillId="0" borderId="23" xfId="0" applyNumberFormat="1" applyFont="1" applyBorder="1" applyAlignment="1">
      <alignment horizontal="center" vertical="center"/>
    </xf>
    <xf numFmtId="15" fontId="77" fillId="0" borderId="23" xfId="0" applyNumberFormat="1" applyFont="1" applyBorder="1" applyAlignment="1">
      <alignment horizontal="center" vertical="center"/>
    </xf>
    <xf numFmtId="0" fontId="87" fillId="0" borderId="23" xfId="0" applyFont="1" applyBorder="1" applyAlignment="1">
      <alignment horizontal="center" vertical="center" wrapText="1"/>
    </xf>
    <xf numFmtId="26" fontId="77" fillId="0" borderId="23" xfId="0" applyNumberFormat="1" applyFont="1" applyBorder="1" applyAlignment="1">
      <alignment horizontal="center" vertical="center"/>
    </xf>
    <xf numFmtId="187" fontId="77" fillId="0" borderId="23" xfId="0" applyNumberFormat="1" applyFont="1" applyBorder="1" applyAlignment="1">
      <alignment horizontal="center"/>
    </xf>
    <xf numFmtId="181" fontId="0" fillId="0" borderId="0" xfId="0" applyNumberFormat="1" applyAlignment="1">
      <alignment horizontal="center" vertical="center"/>
    </xf>
    <xf numFmtId="26" fontId="77" fillId="0" borderId="23" xfId="0" applyNumberFormat="1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187" fontId="77" fillId="0" borderId="56" xfId="0" applyNumberFormat="1" applyFont="1" applyBorder="1" applyAlignment="1">
      <alignment horizontal="center" vertical="center"/>
    </xf>
    <xf numFmtId="15" fontId="77" fillId="0" borderId="56" xfId="0" applyNumberFormat="1" applyFont="1" applyBorder="1" applyAlignment="1">
      <alignment horizontal="center" vertical="center"/>
    </xf>
    <xf numFmtId="0" fontId="87" fillId="0" borderId="56" xfId="0" applyFont="1" applyBorder="1" applyAlignment="1">
      <alignment horizontal="center" vertical="center" wrapText="1"/>
    </xf>
    <xf numFmtId="26" fontId="77" fillId="0" borderId="56" xfId="0" applyNumberFormat="1" applyFont="1" applyBorder="1" applyAlignment="1">
      <alignment horizontal="center"/>
    </xf>
    <xf numFmtId="178" fontId="77" fillId="0" borderId="56" xfId="0" applyNumberFormat="1" applyFont="1" applyBorder="1" applyAlignment="1">
      <alignment horizontal="center" vertical="center"/>
    </xf>
    <xf numFmtId="180" fontId="77" fillId="0" borderId="64" xfId="0" applyNumberFormat="1" applyFont="1" applyBorder="1" applyAlignment="1">
      <alignment horizontal="center" vertical="center"/>
    </xf>
    <xf numFmtId="181" fontId="0" fillId="29" borderId="76" xfId="0" applyNumberFormat="1" applyFill="1" applyBorder="1" applyAlignment="1">
      <alignment horizontal="center" vertical="center"/>
    </xf>
    <xf numFmtId="0" fontId="1" fillId="12" borderId="38" xfId="0" applyFont="1" applyFill="1" applyBorder="1" applyAlignment="1">
      <alignment horizontal="center" vertical="center"/>
    </xf>
    <xf numFmtId="0" fontId="1" fillId="12" borderId="39" xfId="0" applyFont="1" applyFill="1" applyBorder="1" applyAlignment="1">
      <alignment horizontal="center" vertical="center"/>
    </xf>
    <xf numFmtId="0" fontId="1" fillId="31" borderId="38" xfId="0" applyFont="1" applyFill="1" applyBorder="1" applyAlignment="1">
      <alignment horizontal="center" vertical="center"/>
    </xf>
    <xf numFmtId="0" fontId="1" fillId="31" borderId="61" xfId="0" applyFont="1" applyFill="1" applyBorder="1" applyAlignment="1">
      <alignment horizontal="center" vertical="center"/>
    </xf>
    <xf numFmtId="0" fontId="1" fillId="31" borderId="39" xfId="0" applyFont="1" applyFill="1" applyBorder="1" applyAlignment="1">
      <alignment horizontal="center" vertical="center"/>
    </xf>
    <xf numFmtId="0" fontId="1" fillId="31" borderId="40" xfId="0" applyFont="1" applyFill="1" applyBorder="1" applyAlignment="1">
      <alignment horizontal="center" vertical="center"/>
    </xf>
    <xf numFmtId="0" fontId="3" fillId="28" borderId="43" xfId="0" applyFont="1" applyFill="1" applyBorder="1" applyAlignment="1">
      <alignment horizontal="center"/>
    </xf>
    <xf numFmtId="0" fontId="3" fillId="28" borderId="55" xfId="0" applyFont="1" applyFill="1" applyBorder="1" applyAlignment="1">
      <alignment horizontal="center"/>
    </xf>
    <xf numFmtId="0" fontId="3" fillId="28" borderId="62" xfId="0" applyFont="1" applyFill="1" applyBorder="1" applyAlignment="1">
      <alignment horizontal="center"/>
    </xf>
    <xf numFmtId="0" fontId="3" fillId="28" borderId="44" xfId="0" applyFont="1" applyFill="1" applyBorder="1" applyAlignment="1">
      <alignment horizontal="center"/>
    </xf>
    <xf numFmtId="0" fontId="1" fillId="12" borderId="4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7" fillId="31" borderId="41" xfId="0" applyFont="1" applyFill="1" applyBorder="1" applyAlignment="1">
      <alignment horizontal="center"/>
    </xf>
    <xf numFmtId="180" fontId="17" fillId="31" borderId="0" xfId="0" applyNumberFormat="1" applyFont="1" applyFill="1" applyAlignment="1">
      <alignment horizontal="center"/>
    </xf>
    <xf numFmtId="0" fontId="17" fillId="31" borderId="0" xfId="0" applyFont="1" applyFill="1" applyAlignment="1">
      <alignment horizontal="center"/>
    </xf>
    <xf numFmtId="0" fontId="1" fillId="31" borderId="78" xfId="0" applyFont="1" applyFill="1" applyBorder="1" applyAlignment="1">
      <alignment horizontal="center" vertical="center"/>
    </xf>
    <xf numFmtId="0" fontId="1" fillId="31" borderId="51" xfId="0" applyFont="1" applyFill="1" applyBorder="1" applyAlignment="1">
      <alignment horizontal="center" vertical="center"/>
    </xf>
    <xf numFmtId="0" fontId="1" fillId="31" borderId="50" xfId="0" applyFont="1" applyFill="1" applyBorder="1" applyAlignment="1">
      <alignment horizontal="center" vertical="center"/>
    </xf>
    <xf numFmtId="14" fontId="0" fillId="0" borderId="45" xfId="0" applyNumberFormat="1" applyBorder="1"/>
    <xf numFmtId="0" fontId="0" fillId="0" borderId="57" xfId="0" applyBorder="1"/>
    <xf numFmtId="0" fontId="0" fillId="0" borderId="57" xfId="0" applyBorder="1" applyAlignment="1">
      <alignment horizontal="left" vertical="center"/>
    </xf>
    <xf numFmtId="4" fontId="0" fillId="0" borderId="63" xfId="0" applyNumberFormat="1" applyBorder="1"/>
    <xf numFmtId="4" fontId="0" fillId="0" borderId="45" xfId="0" applyNumberFormat="1" applyBorder="1"/>
    <xf numFmtId="4" fontId="0" fillId="0" borderId="57" xfId="0" applyNumberFormat="1" applyBorder="1"/>
    <xf numFmtId="4" fontId="0" fillId="0" borderId="46" xfId="0" applyNumberFormat="1" applyBorder="1"/>
    <xf numFmtId="0" fontId="0" fillId="12" borderId="38" xfId="0" applyFill="1" applyBorder="1" applyAlignment="1">
      <alignment horizontal="left" vertical="center"/>
    </xf>
    <xf numFmtId="178" fontId="0" fillId="12" borderId="39" xfId="0" applyNumberFormat="1" applyFill="1" applyBorder="1" applyAlignment="1">
      <alignment horizontal="center" vertical="center"/>
    </xf>
    <xf numFmtId="0" fontId="1" fillId="12" borderId="61" xfId="0" applyFont="1" applyFill="1" applyBorder="1" applyAlignment="1">
      <alignment horizontal="center" vertical="center"/>
    </xf>
    <xf numFmtId="0" fontId="0" fillId="0" borderId="42" xfId="0" applyBorder="1"/>
    <xf numFmtId="4" fontId="0" fillId="28" borderId="55" xfId="0" applyNumberFormat="1" applyFill="1" applyBorder="1"/>
    <xf numFmtId="0" fontId="16" fillId="0" borderId="43" xfId="0" applyFont="1" applyBorder="1"/>
    <xf numFmtId="178" fontId="16" fillId="32" borderId="55" xfId="0" applyNumberFormat="1" applyFont="1" applyFill="1" applyBorder="1" applyAlignment="1">
      <alignment horizontal="center" vertical="center"/>
    </xf>
    <xf numFmtId="178" fontId="16" fillId="32" borderId="62" xfId="0" applyNumberFormat="1" applyFont="1" applyFill="1" applyBorder="1" applyAlignment="1">
      <alignment horizontal="center" vertical="center"/>
    </xf>
    <xf numFmtId="178" fontId="16" fillId="32" borderId="69" xfId="0" applyNumberFormat="1" applyFont="1" applyFill="1" applyBorder="1" applyAlignment="1">
      <alignment horizontal="center" vertical="center"/>
    </xf>
    <xf numFmtId="178" fontId="16" fillId="32" borderId="52" xfId="0" applyNumberFormat="1" applyFont="1" applyFill="1" applyBorder="1" applyAlignment="1">
      <alignment horizontal="center" vertical="center"/>
    </xf>
    <xf numFmtId="178" fontId="16" fillId="32" borderId="44" xfId="0" applyNumberFormat="1" applyFont="1" applyFill="1" applyBorder="1" applyAlignment="1">
      <alignment horizontal="center"/>
    </xf>
    <xf numFmtId="14" fontId="0" fillId="0" borderId="47" xfId="0" applyNumberFormat="1" applyBorder="1"/>
    <xf numFmtId="0" fontId="0" fillId="0" borderId="56" xfId="0" applyBorder="1" applyAlignment="1">
      <alignment horizontal="left" vertical="center"/>
    </xf>
    <xf numFmtId="4" fontId="0" fillId="0" borderId="64" xfId="0" applyNumberFormat="1" applyBorder="1"/>
    <xf numFmtId="4" fontId="0" fillId="0" borderId="47" xfId="0" applyNumberFormat="1" applyBorder="1"/>
    <xf numFmtId="4" fontId="93" fillId="0" borderId="56" xfId="0" applyNumberFormat="1" applyFont="1" applyBorder="1" applyAlignment="1">
      <alignment horizontal="center"/>
    </xf>
    <xf numFmtId="178" fontId="16" fillId="32" borderId="23" xfId="0" applyNumberFormat="1" applyFont="1" applyFill="1" applyBorder="1" applyAlignment="1">
      <alignment horizontal="center" vertical="center"/>
    </xf>
    <xf numFmtId="178" fontId="16" fillId="32" borderId="33" xfId="0" applyNumberFormat="1" applyFont="1" applyFill="1" applyBorder="1" applyAlignment="1">
      <alignment horizontal="center" vertical="center"/>
    </xf>
    <xf numFmtId="178" fontId="16" fillId="32" borderId="71" xfId="0" applyNumberFormat="1" applyFont="1" applyFill="1" applyBorder="1" applyAlignment="1">
      <alignment horizontal="center" vertical="center"/>
    </xf>
    <xf numFmtId="178" fontId="16" fillId="32" borderId="67" xfId="0" applyNumberFormat="1" applyFont="1" applyFill="1" applyBorder="1" applyAlignment="1">
      <alignment horizontal="center" vertical="center"/>
    </xf>
    <xf numFmtId="178" fontId="16" fillId="32" borderId="24" xfId="0" applyNumberFormat="1" applyFont="1" applyFill="1" applyBorder="1" applyAlignment="1">
      <alignment horizontal="center"/>
    </xf>
    <xf numFmtId="0" fontId="3" fillId="28" borderId="15" xfId="0" applyFont="1" applyFill="1" applyBorder="1" applyAlignment="1">
      <alignment horizontal="center"/>
    </xf>
    <xf numFmtId="0" fontId="3" fillId="28" borderId="16" xfId="0" applyFont="1" applyFill="1" applyBorder="1" applyAlignment="1">
      <alignment horizontal="center"/>
    </xf>
    <xf numFmtId="0" fontId="3" fillId="28" borderId="17" xfId="0" applyFont="1" applyFill="1" applyBorder="1" applyAlignment="1">
      <alignment horizontal="center"/>
    </xf>
    <xf numFmtId="4" fontId="0" fillId="28" borderId="16" xfId="0" applyNumberFormat="1" applyFill="1" applyBorder="1"/>
    <xf numFmtId="0" fontId="3" fillId="28" borderId="18" xfId="0" applyFont="1" applyFill="1" applyBorder="1" applyAlignment="1">
      <alignment horizontal="center"/>
    </xf>
    <xf numFmtId="4" fontId="3" fillId="0" borderId="47" xfId="0" applyNumberFormat="1" applyFont="1" applyBorder="1" applyAlignment="1">
      <alignment horizontal="center"/>
    </xf>
    <xf numFmtId="4" fontId="0" fillId="0" borderId="56" xfId="0" applyNumberFormat="1" applyBorder="1"/>
    <xf numFmtId="14" fontId="0" fillId="30" borderId="15" xfId="0" applyNumberFormat="1" applyFill="1" applyBorder="1"/>
    <xf numFmtId="0" fontId="0" fillId="30" borderId="16" xfId="0" applyFill="1" applyBorder="1"/>
    <xf numFmtId="4" fontId="0" fillId="30" borderId="16" xfId="0" applyNumberFormat="1" applyFill="1" applyBorder="1"/>
    <xf numFmtId="0" fontId="0" fillId="30" borderId="18" xfId="0" applyFill="1" applyBorder="1"/>
    <xf numFmtId="178" fontId="16" fillId="32" borderId="56" xfId="0" applyNumberFormat="1" applyFont="1" applyFill="1" applyBorder="1" applyAlignment="1">
      <alignment horizontal="center" vertical="center"/>
    </xf>
    <xf numFmtId="178" fontId="16" fillId="32" borderId="64" xfId="0" applyNumberFormat="1" applyFont="1" applyFill="1" applyBorder="1" applyAlignment="1">
      <alignment horizontal="center" vertical="center"/>
    </xf>
    <xf numFmtId="178" fontId="16" fillId="32" borderId="76" xfId="0" applyNumberFormat="1" applyFont="1" applyFill="1" applyBorder="1" applyAlignment="1">
      <alignment horizontal="center" vertical="center"/>
    </xf>
    <xf numFmtId="178" fontId="16" fillId="32" borderId="65" xfId="0" applyNumberFormat="1" applyFont="1" applyFill="1" applyBorder="1" applyAlignment="1">
      <alignment horizontal="center" vertical="center"/>
    </xf>
    <xf numFmtId="178" fontId="16" fillId="32" borderId="48" xfId="0" applyNumberFormat="1" applyFont="1" applyFill="1" applyBorder="1" applyAlignment="1">
      <alignment horizontal="center"/>
    </xf>
    <xf numFmtId="14" fontId="0" fillId="30" borderId="47" xfId="0" applyNumberFormat="1" applyFill="1" applyBorder="1"/>
    <xf numFmtId="0" fontId="0" fillId="30" borderId="56" xfId="0" applyFill="1" applyBorder="1"/>
    <xf numFmtId="4" fontId="0" fillId="30" borderId="56" xfId="0" applyNumberFormat="1" applyFill="1" applyBorder="1"/>
    <xf numFmtId="0" fontId="0" fillId="30" borderId="48" xfId="0" applyFill="1" applyBorder="1"/>
    <xf numFmtId="0" fontId="1" fillId="0" borderId="7" xfId="0" applyFont="1" applyBorder="1"/>
    <xf numFmtId="178" fontId="3" fillId="0" borderId="8" xfId="0" applyNumberFormat="1" applyFont="1" applyBorder="1" applyAlignment="1">
      <alignment horizontal="center" vertical="center"/>
    </xf>
    <xf numFmtId="178" fontId="3" fillId="32" borderId="86" xfId="0" applyNumberFormat="1" applyFont="1" applyFill="1" applyBorder="1" applyAlignment="1">
      <alignment horizontal="center" vertical="center"/>
    </xf>
    <xf numFmtId="178" fontId="3" fillId="32" borderId="8" xfId="0" applyNumberFormat="1" applyFont="1" applyFill="1" applyBorder="1" applyAlignment="1">
      <alignment horizontal="center" vertical="center"/>
    </xf>
    <xf numFmtId="178" fontId="3" fillId="32" borderId="9" xfId="0" applyNumberFormat="1" applyFont="1" applyFill="1" applyBorder="1" applyAlignment="1">
      <alignment horizontal="center" vertical="center"/>
    </xf>
    <xf numFmtId="178" fontId="17" fillId="32" borderId="37" xfId="0" applyNumberFormat="1" applyFont="1" applyFill="1" applyBorder="1" applyAlignment="1">
      <alignment horizontal="center"/>
    </xf>
    <xf numFmtId="178" fontId="17" fillId="32" borderId="3" xfId="0" applyNumberFormat="1" applyFont="1" applyFill="1" applyBorder="1" applyAlignment="1">
      <alignment horizontal="center" vertical="center"/>
    </xf>
    <xf numFmtId="178" fontId="17" fillId="32" borderId="37" xfId="0" applyNumberFormat="1" applyFont="1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178" fontId="94" fillId="2" borderId="51" xfId="0" applyNumberFormat="1" applyFont="1" applyFill="1" applyBorder="1" applyAlignment="1">
      <alignment horizontal="center"/>
    </xf>
    <xf numFmtId="178" fontId="0" fillId="2" borderId="51" xfId="0" applyNumberFormat="1" applyFill="1" applyBorder="1" applyAlignment="1">
      <alignment horizontal="center"/>
    </xf>
    <xf numFmtId="178" fontId="0" fillId="2" borderId="87" xfId="0" applyNumberFormat="1" applyFill="1" applyBorder="1" applyAlignment="1">
      <alignment horizontal="center"/>
    </xf>
    <xf numFmtId="0" fontId="1" fillId="12" borderId="61" xfId="0" applyFont="1" applyFill="1" applyBorder="1" applyAlignment="1">
      <alignment horizontal="center"/>
    </xf>
    <xf numFmtId="0" fontId="17" fillId="12" borderId="39" xfId="0" applyFont="1" applyFill="1" applyBorder="1" applyAlignment="1">
      <alignment horizontal="center"/>
    </xf>
    <xf numFmtId="0" fontId="17" fillId="12" borderId="38" xfId="0" applyFont="1" applyFill="1" applyBorder="1" applyAlignment="1">
      <alignment horizontal="center"/>
    </xf>
    <xf numFmtId="0" fontId="17" fillId="12" borderId="61" xfId="0" applyFont="1" applyFill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0" fillId="12" borderId="88" xfId="0" applyFill="1" applyBorder="1" applyAlignment="1">
      <alignment horizontal="center"/>
    </xf>
    <xf numFmtId="10" fontId="17" fillId="12" borderId="51" xfId="0" applyNumberFormat="1" applyFont="1" applyFill="1" applyBorder="1" applyAlignment="1">
      <alignment horizontal="center"/>
    </xf>
    <xf numFmtId="0" fontId="17" fillId="12" borderId="51" xfId="0" applyFont="1" applyFill="1" applyBorder="1" applyAlignment="1">
      <alignment horizontal="center"/>
    </xf>
    <xf numFmtId="10" fontId="17" fillId="12" borderId="49" xfId="0" applyNumberFormat="1" applyFont="1" applyFill="1" applyBorder="1" applyAlignment="1">
      <alignment horizontal="center"/>
    </xf>
    <xf numFmtId="0" fontId="17" fillId="12" borderId="50" xfId="0" applyFont="1" applyFill="1" applyBorder="1" applyAlignment="1">
      <alignment horizontal="center"/>
    </xf>
    <xf numFmtId="0" fontId="17" fillId="12" borderId="88" xfId="0" applyFont="1" applyFill="1" applyBorder="1" applyAlignment="1">
      <alignment horizontal="center" vertical="center"/>
    </xf>
    <xf numFmtId="180" fontId="95" fillId="12" borderId="88" xfId="0" applyNumberFormat="1" applyFont="1" applyFill="1" applyBorder="1" applyAlignment="1">
      <alignment horizontal="center" vertical="center"/>
    </xf>
    <xf numFmtId="26" fontId="16" fillId="0" borderId="89" xfId="0" applyNumberFormat="1" applyFont="1" applyBorder="1" applyAlignment="1">
      <alignment horizontal="center"/>
    </xf>
    <xf numFmtId="26" fontId="16" fillId="0" borderId="87" xfId="0" applyNumberFormat="1" applyFont="1" applyBorder="1" applyAlignment="1">
      <alignment horizontal="center"/>
    </xf>
    <xf numFmtId="26" fontId="16" fillId="0" borderId="90" xfId="0" applyNumberFormat="1" applyFont="1" applyBorder="1" applyAlignment="1">
      <alignment horizontal="center"/>
    </xf>
    <xf numFmtId="26" fontId="16" fillId="0" borderId="91" xfId="0" applyNumberFormat="1" applyFont="1" applyBorder="1" applyAlignment="1">
      <alignment horizontal="center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/>
    <xf numFmtId="0" fontId="17" fillId="33" borderId="61" xfId="0" applyFont="1" applyFill="1" applyBorder="1" applyAlignment="1">
      <alignment horizontal="center"/>
    </xf>
    <xf numFmtId="10" fontId="17" fillId="33" borderId="49" xfId="0" applyNumberFormat="1" applyFont="1" applyFill="1" applyBorder="1" applyAlignment="1">
      <alignment horizontal="center"/>
    </xf>
    <xf numFmtId="0" fontId="17" fillId="33" borderId="51" xfId="0" applyFont="1" applyFill="1" applyBorder="1" applyAlignment="1">
      <alignment horizontal="center"/>
    </xf>
    <xf numFmtId="0" fontId="17" fillId="33" borderId="50" xfId="0" applyFont="1" applyFill="1" applyBorder="1" applyAlignment="1">
      <alignment horizontal="center"/>
    </xf>
    <xf numFmtId="26" fontId="16" fillId="33" borderId="91" xfId="0" applyNumberFormat="1" applyFont="1" applyFill="1" applyBorder="1" applyAlignment="1">
      <alignment horizontal="center"/>
    </xf>
    <xf numFmtId="26" fontId="16" fillId="33" borderId="80" xfId="0" applyNumberFormat="1" applyFont="1" applyFill="1" applyBorder="1" applyAlignment="1">
      <alignment horizontal="center"/>
    </xf>
    <xf numFmtId="26" fontId="16" fillId="33" borderId="87" xfId="0" applyNumberFormat="1" applyFont="1" applyFill="1" applyBorder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4" borderId="38" xfId="0" applyFill="1" applyBorder="1"/>
    <xf numFmtId="0" fontId="0" fillId="4" borderId="39" xfId="0" applyFill="1" applyBorder="1"/>
    <xf numFmtId="0" fontId="0" fillId="4" borderId="40" xfId="0" applyFill="1" applyBorder="1"/>
    <xf numFmtId="0" fontId="96" fillId="2" borderId="39" xfId="0" applyFont="1" applyFill="1" applyBorder="1" applyAlignment="1">
      <alignment horizontal="left"/>
    </xf>
    <xf numFmtId="0" fontId="97" fillId="2" borderId="39" xfId="0" applyFont="1" applyFill="1" applyBorder="1" applyAlignment="1">
      <alignment horizontal="left"/>
    </xf>
    <xf numFmtId="0" fontId="97" fillId="2" borderId="39" xfId="0" applyFont="1" applyFill="1" applyBorder="1" applyAlignment="1">
      <alignment horizontal="center"/>
    </xf>
    <xf numFmtId="0" fontId="54" fillId="2" borderId="39" xfId="0" applyFont="1" applyFill="1" applyBorder="1" applyAlignment="1">
      <alignment horizontal="left"/>
    </xf>
    <xf numFmtId="43" fontId="53" fillId="2" borderId="39" xfId="1" applyFont="1" applyFill="1" applyBorder="1"/>
    <xf numFmtId="0" fontId="53" fillId="2" borderId="39" xfId="0" applyFont="1" applyFill="1" applyBorder="1"/>
    <xf numFmtId="0" fontId="53" fillId="2" borderId="39" xfId="0" applyFont="1" applyFill="1" applyBorder="1" applyAlignment="1">
      <alignment horizontal="center"/>
    </xf>
    <xf numFmtId="0" fontId="53" fillId="2" borderId="40" xfId="0" applyFont="1" applyFill="1" applyBorder="1"/>
    <xf numFmtId="0" fontId="0" fillId="27" borderId="38" xfId="0" applyFill="1" applyBorder="1"/>
    <xf numFmtId="0" fontId="96" fillId="27" borderId="39" xfId="0" applyFont="1" applyFill="1" applyBorder="1" applyAlignment="1">
      <alignment horizontal="left"/>
    </xf>
    <xf numFmtId="0" fontId="97" fillId="27" borderId="39" xfId="0" applyFont="1" applyFill="1" applyBorder="1" applyAlignment="1">
      <alignment horizontal="left"/>
    </xf>
    <xf numFmtId="0" fontId="54" fillId="27" borderId="39" xfId="0" applyFont="1" applyFill="1" applyBorder="1" applyAlignment="1">
      <alignment horizontal="left"/>
    </xf>
    <xf numFmtId="43" fontId="53" fillId="27" borderId="39" xfId="1" applyFont="1" applyFill="1" applyBorder="1"/>
    <xf numFmtId="0" fontId="53" fillId="27" borderId="39" xfId="0" applyFont="1" applyFill="1" applyBorder="1"/>
    <xf numFmtId="0" fontId="53" fillId="27" borderId="39" xfId="0" applyFont="1" applyFill="1" applyBorder="1" applyAlignment="1">
      <alignment horizontal="center"/>
    </xf>
    <xf numFmtId="0" fontId="53" fillId="27" borderId="40" xfId="0" applyFont="1" applyFill="1" applyBorder="1"/>
    <xf numFmtId="0" fontId="0" fillId="26" borderId="38" xfId="0" applyFill="1" applyBorder="1"/>
    <xf numFmtId="0" fontId="96" fillId="26" borderId="39" xfId="0" applyFont="1" applyFill="1" applyBorder="1" applyAlignment="1">
      <alignment horizontal="left"/>
    </xf>
    <xf numFmtId="0" fontId="97" fillId="26" borderId="39" xfId="0" applyFont="1" applyFill="1" applyBorder="1" applyAlignment="1">
      <alignment horizontal="left"/>
    </xf>
    <xf numFmtId="0" fontId="54" fillId="26" borderId="39" xfId="0" applyFont="1" applyFill="1" applyBorder="1" applyAlignment="1">
      <alignment horizontal="left"/>
    </xf>
    <xf numFmtId="43" fontId="53" fillId="26" borderId="39" xfId="1" applyFont="1" applyFill="1" applyBorder="1"/>
    <xf numFmtId="0" fontId="53" fillId="26" borderId="39" xfId="0" applyFont="1" applyFill="1" applyBorder="1"/>
    <xf numFmtId="0" fontId="53" fillId="26" borderId="39" xfId="0" applyFont="1" applyFill="1" applyBorder="1" applyAlignment="1">
      <alignment horizontal="center"/>
    </xf>
    <xf numFmtId="0" fontId="53" fillId="26" borderId="40" xfId="0" applyFont="1" applyFill="1" applyBorder="1"/>
    <xf numFmtId="0" fontId="96" fillId="34" borderId="38" xfId="0" applyFont="1" applyFill="1" applyBorder="1" applyAlignment="1">
      <alignment horizontal="left"/>
    </xf>
    <xf numFmtId="0" fontId="97" fillId="34" borderId="39" xfId="0" applyFont="1" applyFill="1" applyBorder="1" applyAlignment="1">
      <alignment horizontal="left"/>
    </xf>
    <xf numFmtId="0" fontId="54" fillId="34" borderId="39" xfId="0" applyFont="1" applyFill="1" applyBorder="1" applyAlignment="1">
      <alignment horizontal="center" vertical="center"/>
    </xf>
    <xf numFmtId="43" fontId="53" fillId="34" borderId="39" xfId="1" applyFont="1" applyFill="1" applyBorder="1"/>
    <xf numFmtId="0" fontId="53" fillId="34" borderId="39" xfId="0" applyFont="1" applyFill="1" applyBorder="1"/>
    <xf numFmtId="0" fontId="53" fillId="34" borderId="40" xfId="0" applyFont="1" applyFill="1" applyBorder="1" applyAlignment="1">
      <alignment horizontal="center"/>
    </xf>
    <xf numFmtId="0" fontId="0" fillId="4" borderId="41" xfId="0" applyFill="1" applyBorder="1"/>
    <xf numFmtId="0" fontId="1" fillId="4" borderId="0" xfId="0" applyFont="1" applyFill="1"/>
    <xf numFmtId="0" fontId="98" fillId="4" borderId="0" xfId="0" applyFont="1" applyFill="1"/>
    <xf numFmtId="0" fontId="0" fillId="4" borderId="0" xfId="0" applyFill="1"/>
    <xf numFmtId="0" fontId="0" fillId="4" borderId="42" xfId="0" applyFill="1" applyBorder="1"/>
    <xf numFmtId="0" fontId="99" fillId="2" borderId="0" xfId="0" applyFont="1" applyFill="1" applyAlignment="1">
      <alignment horizontal="left"/>
    </xf>
    <xf numFmtId="0" fontId="97" fillId="2" borderId="0" xfId="0" applyFont="1" applyFill="1" applyAlignment="1">
      <alignment horizontal="left"/>
    </xf>
    <xf numFmtId="0" fontId="97" fillId="2" borderId="0" xfId="0" applyFont="1" applyFill="1" applyAlignment="1">
      <alignment horizontal="center"/>
    </xf>
    <xf numFmtId="0" fontId="54" fillId="2" borderId="0" xfId="0" applyFont="1" applyFill="1" applyAlignment="1">
      <alignment horizontal="left"/>
    </xf>
    <xf numFmtId="43" fontId="53" fillId="2" borderId="0" xfId="1" applyFont="1" applyFill="1"/>
    <xf numFmtId="0" fontId="53" fillId="2" borderId="0" xfId="0" applyFont="1" applyFill="1" applyAlignment="1">
      <alignment horizontal="center"/>
    </xf>
    <xf numFmtId="0" fontId="53" fillId="2" borderId="42" xfId="0" applyFont="1" applyFill="1" applyBorder="1"/>
    <xf numFmtId="0" fontId="0" fillId="27" borderId="41" xfId="0" applyFill="1" applyBorder="1"/>
    <xf numFmtId="0" fontId="99" fillId="27" borderId="0" xfId="0" applyFont="1" applyFill="1" applyAlignment="1">
      <alignment horizontal="left"/>
    </xf>
    <xf numFmtId="0" fontId="97" fillId="27" borderId="0" xfId="0" applyFont="1" applyFill="1" applyAlignment="1">
      <alignment horizontal="left"/>
    </xf>
    <xf numFmtId="0" fontId="54" fillId="27" borderId="0" xfId="0" applyFont="1" applyFill="1" applyAlignment="1">
      <alignment horizontal="left"/>
    </xf>
    <xf numFmtId="43" fontId="53" fillId="27" borderId="0" xfId="1" applyFont="1" applyFill="1"/>
    <xf numFmtId="0" fontId="53" fillId="27" borderId="0" xfId="0" applyFont="1" applyFill="1"/>
    <xf numFmtId="0" fontId="53" fillId="27" borderId="0" xfId="0" applyFont="1" applyFill="1" applyAlignment="1">
      <alignment horizontal="center"/>
    </xf>
    <xf numFmtId="0" fontId="53" fillId="27" borderId="42" xfId="0" applyFont="1" applyFill="1" applyBorder="1"/>
    <xf numFmtId="0" fontId="0" fillId="26" borderId="41" xfId="0" applyFill="1" applyBorder="1"/>
    <xf numFmtId="0" fontId="99" fillId="26" borderId="0" xfId="0" applyFont="1" applyFill="1" applyAlignment="1">
      <alignment horizontal="left"/>
    </xf>
    <xf numFmtId="0" fontId="97" fillId="26" borderId="0" xfId="0" applyFont="1" applyFill="1" applyAlignment="1">
      <alignment horizontal="left"/>
    </xf>
    <xf numFmtId="0" fontId="54" fillId="26" borderId="0" xfId="0" applyFont="1" applyFill="1" applyAlignment="1">
      <alignment horizontal="left"/>
    </xf>
    <xf numFmtId="43" fontId="53" fillId="26" borderId="0" xfId="1" applyFont="1" applyFill="1"/>
    <xf numFmtId="0" fontId="53" fillId="26" borderId="0" xfId="0" applyFont="1" applyFill="1"/>
    <xf numFmtId="0" fontId="53" fillId="26" borderId="0" xfId="0" applyFont="1" applyFill="1" applyAlignment="1">
      <alignment horizontal="center"/>
    </xf>
    <xf numFmtId="0" fontId="53" fillId="26" borderId="42" xfId="0" applyFont="1" applyFill="1" applyBorder="1"/>
    <xf numFmtId="0" fontId="99" fillId="34" borderId="41" xfId="0" applyFont="1" applyFill="1" applyBorder="1" applyAlignment="1">
      <alignment horizontal="left"/>
    </xf>
    <xf numFmtId="0" fontId="97" fillId="34" borderId="0" xfId="0" applyFont="1" applyFill="1" applyAlignment="1">
      <alignment horizontal="left"/>
    </xf>
    <xf numFmtId="0" fontId="54" fillId="34" borderId="0" xfId="0" applyFont="1" applyFill="1" applyAlignment="1">
      <alignment horizontal="center" vertical="center"/>
    </xf>
    <xf numFmtId="43" fontId="53" fillId="34" borderId="0" xfId="1" applyFont="1" applyFill="1"/>
    <xf numFmtId="0" fontId="53" fillId="34" borderId="0" xfId="0" applyFont="1" applyFill="1"/>
    <xf numFmtId="0" fontId="53" fillId="34" borderId="42" xfId="0" applyFont="1" applyFill="1" applyBorder="1" applyAlignment="1">
      <alignment horizontal="center"/>
    </xf>
    <xf numFmtId="0" fontId="88" fillId="4" borderId="0" xfId="0" applyFont="1" applyFill="1"/>
    <xf numFmtId="0" fontId="54" fillId="2" borderId="0" xfId="0" applyFont="1" applyFill="1" applyAlignment="1">
      <alignment horizontal="center"/>
    </xf>
    <xf numFmtId="0" fontId="54" fillId="34" borderId="41" xfId="0" applyFont="1" applyFill="1" applyBorder="1" applyAlignment="1">
      <alignment horizontal="left"/>
    </xf>
    <xf numFmtId="0" fontId="54" fillId="34" borderId="0" xfId="0" applyFont="1" applyFill="1" applyAlignment="1">
      <alignment horizontal="left"/>
    </xf>
    <xf numFmtId="43" fontId="53" fillId="2" borderId="0" xfId="1" applyFont="1" applyFill="1" applyAlignment="1">
      <alignment horizontal="center"/>
    </xf>
    <xf numFmtId="43" fontId="53" fillId="27" borderId="0" xfId="1" applyFont="1" applyFill="1" applyAlignment="1">
      <alignment horizontal="center"/>
    </xf>
    <xf numFmtId="43" fontId="53" fillId="26" borderId="0" xfId="1" applyFont="1" applyFill="1" applyAlignment="1">
      <alignment horizontal="center"/>
    </xf>
    <xf numFmtId="0" fontId="53" fillId="34" borderId="41" xfId="0" applyFont="1" applyFill="1" applyBorder="1"/>
    <xf numFmtId="0" fontId="53" fillId="34" borderId="0" xfId="0" applyFont="1" applyFill="1" applyAlignment="1">
      <alignment horizontal="center" vertical="center"/>
    </xf>
    <xf numFmtId="43" fontId="53" fillId="34" borderId="0" xfId="1" applyFont="1" applyFill="1" applyAlignment="1">
      <alignment horizontal="center"/>
    </xf>
    <xf numFmtId="14" fontId="1" fillId="4" borderId="0" xfId="0" applyNumberFormat="1" applyFont="1" applyFill="1"/>
    <xf numFmtId="0" fontId="100" fillId="2" borderId="0" xfId="0" applyFont="1" applyFill="1" applyAlignment="1">
      <alignment horizontal="left"/>
    </xf>
    <xf numFmtId="194" fontId="101" fillId="2" borderId="0" xfId="0" applyNumberFormat="1" applyFont="1" applyFill="1" applyAlignment="1">
      <alignment horizontal="left"/>
    </xf>
    <xf numFmtId="0" fontId="100" fillId="27" borderId="0" xfId="0" applyFont="1" applyFill="1" applyAlignment="1">
      <alignment horizontal="left"/>
    </xf>
    <xf numFmtId="194" fontId="101" fillId="27" borderId="0" xfId="0" applyNumberFormat="1" applyFont="1" applyFill="1" applyAlignment="1">
      <alignment horizontal="left"/>
    </xf>
    <xf numFmtId="0" fontId="100" fillId="26" borderId="0" xfId="0" applyFont="1" applyFill="1" applyAlignment="1">
      <alignment horizontal="left"/>
    </xf>
    <xf numFmtId="194" fontId="101" fillId="26" borderId="0" xfId="0" applyNumberFormat="1" applyFont="1" applyFill="1" applyAlignment="1">
      <alignment horizontal="left"/>
    </xf>
    <xf numFmtId="0" fontId="100" fillId="34" borderId="41" xfId="0" applyFont="1" applyFill="1" applyBorder="1" applyAlignment="1">
      <alignment horizontal="left"/>
    </xf>
    <xf numFmtId="194" fontId="101" fillId="34" borderId="0" xfId="0" applyNumberFormat="1" applyFont="1" applyFill="1" applyAlignment="1">
      <alignment horizontal="left"/>
    </xf>
    <xf numFmtId="0" fontId="97" fillId="3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43" fontId="102" fillId="2" borderId="0" xfId="1" applyFont="1" applyFill="1" applyAlignment="1">
      <alignment horizontal="center"/>
    </xf>
    <xf numFmtId="43" fontId="102" fillId="27" borderId="0" xfId="1" applyFont="1" applyFill="1" applyAlignment="1">
      <alignment horizontal="center"/>
    </xf>
    <xf numFmtId="43" fontId="102" fillId="26" borderId="0" xfId="1" applyFont="1" applyFill="1" applyAlignment="1">
      <alignment horizontal="center"/>
    </xf>
    <xf numFmtId="43" fontId="102" fillId="34" borderId="0" xfId="1" applyFont="1" applyFill="1" applyAlignment="1">
      <alignment horizontal="center"/>
    </xf>
    <xf numFmtId="14" fontId="1" fillId="4" borderId="0" xfId="0" applyNumberFormat="1" applyFont="1" applyFill="1" applyAlignment="1">
      <alignment horizontal="left"/>
    </xf>
    <xf numFmtId="43" fontId="54" fillId="2" borderId="0" xfId="1" applyFont="1" applyFill="1" applyAlignment="1">
      <alignment horizontal="center"/>
    </xf>
    <xf numFmtId="0" fontId="54" fillId="2" borderId="0" xfId="0" applyFont="1" applyFill="1" applyAlignment="1">
      <alignment horizontal="right"/>
    </xf>
    <xf numFmtId="43" fontId="54" fillId="27" borderId="0" xfId="1" applyFont="1" applyFill="1" applyAlignment="1">
      <alignment horizontal="center"/>
    </xf>
    <xf numFmtId="0" fontId="54" fillId="27" borderId="0" xfId="0" applyFont="1" applyFill="1" applyAlignment="1">
      <alignment horizontal="right"/>
    </xf>
    <xf numFmtId="43" fontId="54" fillId="26" borderId="0" xfId="1" applyFont="1" applyFill="1" applyAlignment="1">
      <alignment horizontal="center"/>
    </xf>
    <xf numFmtId="0" fontId="54" fillId="26" borderId="0" xfId="0" applyFont="1" applyFill="1" applyAlignment="1">
      <alignment horizontal="right"/>
    </xf>
    <xf numFmtId="43" fontId="54" fillId="34" borderId="0" xfId="1" applyFont="1" applyFill="1" applyAlignment="1">
      <alignment horizontal="center"/>
    </xf>
    <xf numFmtId="0" fontId="54" fillId="34" borderId="42" xfId="0" applyFont="1" applyFill="1" applyBorder="1" applyAlignment="1">
      <alignment horizontal="right"/>
    </xf>
    <xf numFmtId="0" fontId="97" fillId="2" borderId="0" xfId="0" applyFont="1" applyFill="1"/>
    <xf numFmtId="0" fontId="103" fillId="2" borderId="0" xfId="0" applyFont="1" applyFill="1"/>
    <xf numFmtId="0" fontId="103" fillId="2" borderId="0" xfId="0" applyFont="1" applyFill="1" applyAlignment="1">
      <alignment horizontal="center"/>
    </xf>
    <xf numFmtId="0" fontId="97" fillId="27" borderId="0" xfId="0" applyFont="1" applyFill="1"/>
    <xf numFmtId="0" fontId="103" fillId="27" borderId="0" xfId="0" applyFont="1" applyFill="1"/>
    <xf numFmtId="0" fontId="97" fillId="26" borderId="0" xfId="0" applyFont="1" applyFill="1"/>
    <xf numFmtId="0" fontId="103" fillId="26" borderId="0" xfId="0" applyFont="1" applyFill="1"/>
    <xf numFmtId="0" fontId="97" fillId="34" borderId="41" xfId="0" applyFont="1" applyFill="1" applyBorder="1"/>
    <xf numFmtId="0" fontId="103" fillId="34" borderId="0" xfId="0" applyFont="1" applyFill="1"/>
    <xf numFmtId="0" fontId="103" fillId="34" borderId="0" xfId="0" applyFont="1" applyFill="1" applyAlignment="1">
      <alignment horizontal="center" vertical="center"/>
    </xf>
    <xf numFmtId="0" fontId="6" fillId="4" borderId="0" xfId="0" applyFont="1" applyFill="1"/>
    <xf numFmtId="0" fontId="0" fillId="4" borderId="0" xfId="0" applyFill="1" applyAlignment="1">
      <alignment horizontal="center"/>
    </xf>
    <xf numFmtId="195" fontId="0" fillId="4" borderId="0" xfId="0" applyNumberFormat="1" applyFill="1" applyAlignment="1">
      <alignment horizontal="center" vertical="center"/>
    </xf>
    <xf numFmtId="0" fontId="64" fillId="2" borderId="0" xfId="0" applyFont="1" applyFill="1"/>
    <xf numFmtId="43" fontId="53" fillId="2" borderId="0" xfId="1" applyFont="1" applyFill="1" applyAlignment="1">
      <alignment horizontal="left"/>
    </xf>
    <xf numFmtId="0" fontId="64" fillId="27" borderId="0" xfId="0" applyFont="1" applyFill="1"/>
    <xf numFmtId="196" fontId="53" fillId="27" borderId="0" xfId="0" applyNumberFormat="1" applyFont="1" applyFill="1"/>
    <xf numFmtId="43" fontId="53" fillId="27" borderId="0" xfId="1" applyFont="1" applyFill="1" applyAlignment="1">
      <alignment horizontal="left"/>
    </xf>
    <xf numFmtId="0" fontId="64" fillId="26" borderId="0" xfId="0" applyFont="1" applyFill="1"/>
    <xf numFmtId="196" fontId="53" fillId="26" borderId="0" xfId="0" applyNumberFormat="1" applyFont="1" applyFill="1"/>
    <xf numFmtId="43" fontId="53" fillId="26" borderId="0" xfId="1" applyFont="1" applyFill="1" applyAlignment="1">
      <alignment horizontal="left"/>
    </xf>
    <xf numFmtId="0" fontId="64" fillId="34" borderId="41" xfId="0" applyFont="1" applyFill="1" applyBorder="1"/>
    <xf numFmtId="196" fontId="53" fillId="34" borderId="0" xfId="0" applyNumberFormat="1" applyFont="1" applyFill="1"/>
    <xf numFmtId="43" fontId="53" fillId="34" borderId="0" xfId="1" applyFont="1" applyFill="1" applyAlignment="1">
      <alignment horizontal="left"/>
    </xf>
    <xf numFmtId="0" fontId="0" fillId="4" borderId="0" xfId="0" applyFill="1" applyAlignment="1">
      <alignment horizontal="center" vertical="center"/>
    </xf>
    <xf numFmtId="0" fontId="64" fillId="2" borderId="0" xfId="0" applyFont="1" applyFill="1" applyAlignment="1">
      <alignment horizontal="left"/>
    </xf>
    <xf numFmtId="43" fontId="53" fillId="2" borderId="0" xfId="0" applyNumberFormat="1" applyFont="1" applyFill="1" applyAlignment="1">
      <alignment horizontal="center"/>
    </xf>
    <xf numFmtId="0" fontId="64" fillId="27" borderId="0" xfId="0" applyFont="1" applyFill="1" applyAlignment="1">
      <alignment horizontal="left"/>
    </xf>
    <xf numFmtId="0" fontId="64" fillId="26" borderId="0" xfId="0" applyFont="1" applyFill="1" applyAlignment="1">
      <alignment horizontal="left"/>
    </xf>
    <xf numFmtId="0" fontId="64" fillId="34" borderId="41" xfId="0" applyFont="1" applyFill="1" applyBorder="1" applyAlignment="1">
      <alignment horizontal="left"/>
    </xf>
    <xf numFmtId="195" fontId="0" fillId="4" borderId="92" xfId="0" applyNumberFormat="1" applyFill="1" applyBorder="1" applyAlignment="1">
      <alignment horizontal="center" vertical="center"/>
    </xf>
    <xf numFmtId="178" fontId="53" fillId="34" borderId="0" xfId="0" applyNumberFormat="1" applyFont="1" applyFill="1" applyAlignment="1">
      <alignment horizontal="center" vertical="center"/>
    </xf>
    <xf numFmtId="0" fontId="53" fillId="2" borderId="0" xfId="0" applyFont="1" applyFill="1" applyAlignment="1">
      <alignment horizontal="left"/>
    </xf>
    <xf numFmtId="196" fontId="53" fillId="2" borderId="0" xfId="0" applyNumberFormat="1" applyFont="1" applyFill="1" applyAlignment="1">
      <alignment horizontal="center"/>
    </xf>
    <xf numFmtId="196" fontId="53" fillId="2" borderId="0" xfId="0" applyNumberFormat="1" applyFont="1" applyFill="1" applyAlignment="1">
      <alignment horizontal="right"/>
    </xf>
    <xf numFmtId="0" fontId="53" fillId="27" borderId="0" xfId="0" applyFont="1" applyFill="1" applyAlignment="1">
      <alignment horizontal="left"/>
    </xf>
    <xf numFmtId="0" fontId="53" fillId="26" borderId="0" xfId="0" applyFont="1" applyFill="1" applyAlignment="1">
      <alignment horizontal="left"/>
    </xf>
    <xf numFmtId="0" fontId="53" fillId="34" borderId="0" xfId="0" applyFont="1" applyFill="1" applyAlignment="1">
      <alignment horizontal="left"/>
    </xf>
    <xf numFmtId="197" fontId="0" fillId="4" borderId="0" xfId="0" applyNumberFormat="1" applyFill="1" applyAlignment="1">
      <alignment horizontal="center"/>
    </xf>
    <xf numFmtId="198" fontId="53" fillId="2" borderId="0" xfId="0" applyNumberFormat="1" applyFont="1" applyFill="1" applyAlignment="1">
      <alignment horizontal="center"/>
    </xf>
    <xf numFmtId="0" fontId="4" fillId="4" borderId="0" xfId="0" applyFont="1" applyFill="1"/>
    <xf numFmtId="197" fontId="0" fillId="4" borderId="92" xfId="0" applyNumberFormat="1" applyFill="1" applyBorder="1" applyAlignment="1">
      <alignment horizontal="center" vertical="center"/>
    </xf>
    <xf numFmtId="191" fontId="0" fillId="4" borderId="0" xfId="0" applyNumberFormat="1" applyFill="1" applyAlignment="1">
      <alignment horizontal="center" vertical="center"/>
    </xf>
    <xf numFmtId="43" fontId="53" fillId="2" borderId="93" xfId="1" applyFont="1" applyFill="1" applyBorder="1" applyAlignment="1">
      <alignment vertical="center"/>
    </xf>
    <xf numFmtId="43" fontId="53" fillId="27" borderId="93" xfId="1" applyFont="1" applyFill="1" applyBorder="1" applyAlignment="1">
      <alignment vertical="center"/>
    </xf>
    <xf numFmtId="43" fontId="53" fillId="26" borderId="93" xfId="1" applyFont="1" applyFill="1" applyBorder="1" applyAlignment="1">
      <alignment vertical="center"/>
    </xf>
    <xf numFmtId="43" fontId="53" fillId="34" borderId="93" xfId="1" applyFont="1" applyFill="1" applyBorder="1" applyAlignment="1">
      <alignment vertical="center"/>
    </xf>
    <xf numFmtId="195" fontId="0" fillId="4" borderId="92" xfId="0" applyNumberFormat="1" applyFill="1" applyBorder="1" applyAlignment="1">
      <alignment horizontal="center"/>
    </xf>
    <xf numFmtId="198" fontId="53" fillId="27" borderId="0" xfId="0" applyNumberFormat="1" applyFont="1" applyFill="1"/>
    <xf numFmtId="198" fontId="53" fillId="26" borderId="0" xfId="0" applyNumberFormat="1" applyFont="1" applyFill="1"/>
    <xf numFmtId="198" fontId="53" fillId="34" borderId="0" xfId="0" applyNumberFormat="1" applyFont="1" applyFill="1"/>
    <xf numFmtId="181" fontId="53" fillId="34" borderId="0" xfId="0" applyNumberFormat="1" applyFont="1" applyFill="1"/>
    <xf numFmtId="199" fontId="53" fillId="27" borderId="0" xfId="0" applyNumberFormat="1" applyFont="1" applyFill="1"/>
    <xf numFmtId="199" fontId="53" fillId="26" borderId="0" xfId="0" applyNumberFormat="1" applyFont="1" applyFill="1"/>
    <xf numFmtId="199" fontId="53" fillId="34" borderId="0" xfId="0" applyNumberFormat="1" applyFont="1" applyFill="1"/>
    <xf numFmtId="198" fontId="53" fillId="2" borderId="0" xfId="0" applyNumberFormat="1" applyFont="1" applyFill="1" applyAlignment="1">
      <alignment horizontal="right"/>
    </xf>
    <xf numFmtId="195" fontId="0" fillId="4" borderId="0" xfId="0" applyNumberFormat="1" applyFill="1" applyAlignment="1">
      <alignment horizontal="center"/>
    </xf>
    <xf numFmtId="0" fontId="53" fillId="34" borderId="41" xfId="0" applyFont="1" applyFill="1" applyBorder="1" applyAlignment="1">
      <alignment horizontal="left"/>
    </xf>
    <xf numFmtId="197" fontId="0" fillId="4" borderId="0" xfId="0" applyNumberFormat="1" applyFill="1" applyAlignment="1">
      <alignment horizontal="center" vertical="center"/>
    </xf>
    <xf numFmtId="197" fontId="0" fillId="4" borderId="92" xfId="0" applyNumberFormat="1" applyFill="1" applyBorder="1" applyAlignment="1">
      <alignment horizontal="center"/>
    </xf>
    <xf numFmtId="0" fontId="97" fillId="2" borderId="0" xfId="0" applyFont="1" applyFill="1" applyAlignment="1">
      <alignment vertical="center"/>
    </xf>
    <xf numFmtId="25" fontId="54" fillId="2" borderId="92" xfId="1" applyNumberFormat="1" applyFont="1" applyFill="1" applyBorder="1" applyAlignment="1">
      <alignment vertical="center"/>
    </xf>
    <xf numFmtId="0" fontId="97" fillId="27" borderId="0" xfId="0" applyFont="1" applyFill="1" applyAlignment="1">
      <alignment vertical="center"/>
    </xf>
    <xf numFmtId="26" fontId="54" fillId="27" borderId="92" xfId="1" applyNumberFormat="1" applyFont="1" applyFill="1" applyBorder="1" applyAlignment="1">
      <alignment vertical="center"/>
    </xf>
    <xf numFmtId="0" fontId="97" fillId="26" borderId="0" xfId="0" applyFont="1" applyFill="1" applyAlignment="1">
      <alignment vertical="center"/>
    </xf>
    <xf numFmtId="26" fontId="54" fillId="26" borderId="92" xfId="1" applyNumberFormat="1" applyFont="1" applyFill="1" applyBorder="1" applyAlignment="1">
      <alignment vertical="center"/>
    </xf>
    <xf numFmtId="0" fontId="97" fillId="34" borderId="41" xfId="0" applyFont="1" applyFill="1" applyBorder="1" applyAlignment="1">
      <alignment vertical="center"/>
    </xf>
    <xf numFmtId="26" fontId="54" fillId="34" borderId="92" xfId="1" applyNumberFormat="1" applyFont="1" applyFill="1" applyBorder="1" applyAlignment="1">
      <alignment vertical="center"/>
    </xf>
    <xf numFmtId="0" fontId="0" fillId="4" borderId="49" xfId="0" applyFill="1" applyBorder="1"/>
    <xf numFmtId="0" fontId="0" fillId="4" borderId="51" xfId="0" applyFill="1" applyBorder="1"/>
    <xf numFmtId="0" fontId="0" fillId="4" borderId="50" xfId="0" applyFill="1" applyBorder="1"/>
    <xf numFmtId="0" fontId="1" fillId="35" borderId="38" xfId="0" applyFont="1" applyFill="1" applyBorder="1"/>
    <xf numFmtId="0" fontId="1" fillId="35" borderId="39" xfId="0" applyFont="1" applyFill="1" applyBorder="1" applyAlignment="1">
      <alignment horizontal="right"/>
    </xf>
    <xf numFmtId="0" fontId="3" fillId="35" borderId="39" xfId="0" applyFont="1" applyFill="1" applyBorder="1"/>
    <xf numFmtId="14" fontId="1" fillId="35" borderId="39" xfId="0" applyNumberFormat="1" applyFont="1" applyFill="1" applyBorder="1"/>
    <xf numFmtId="0" fontId="0" fillId="35" borderId="40" xfId="0" applyFill="1" applyBorder="1"/>
    <xf numFmtId="0" fontId="0" fillId="35" borderId="41" xfId="0" applyFill="1" applyBorder="1"/>
    <xf numFmtId="0" fontId="3" fillId="35" borderId="0" xfId="0" applyFont="1" applyFill="1"/>
    <xf numFmtId="189" fontId="1" fillId="35" borderId="0" xfId="0" applyNumberFormat="1" applyFont="1" applyFill="1" applyAlignment="1">
      <alignment horizontal="center" vertical="center"/>
    </xf>
    <xf numFmtId="0" fontId="0" fillId="35" borderId="0" xfId="0" applyFill="1"/>
    <xf numFmtId="0" fontId="0" fillId="35" borderId="42" xfId="0" applyFill="1" applyBorder="1"/>
    <xf numFmtId="0" fontId="3" fillId="2" borderId="69" xfId="0" applyFont="1" applyFill="1" applyBorder="1" applyAlignment="1">
      <alignment horizontal="center" vertical="center"/>
    </xf>
    <xf numFmtId="0" fontId="0" fillId="35" borderId="42" xfId="0" applyFill="1" applyBorder="1" applyAlignment="1">
      <alignment horizontal="center" vertical="center"/>
    </xf>
    <xf numFmtId="189" fontId="0" fillId="35" borderId="0" xfId="0" applyNumberFormat="1" applyFill="1" applyAlignment="1">
      <alignment horizontal="center" vertical="center"/>
    </xf>
    <xf numFmtId="178" fontId="1" fillId="2" borderId="71" xfId="0" applyNumberFormat="1" applyFont="1" applyFill="1" applyBorder="1" applyAlignment="1">
      <alignment horizontal="center" vertical="center"/>
    </xf>
    <xf numFmtId="26" fontId="1" fillId="2" borderId="71" xfId="0" applyNumberFormat="1" applyFont="1" applyFill="1" applyBorder="1" applyAlignment="1">
      <alignment horizontal="center" vertical="center"/>
    </xf>
    <xf numFmtId="0" fontId="1" fillId="35" borderId="41" xfId="0" applyFont="1" applyFill="1" applyBorder="1" applyAlignment="1">
      <alignment horizontal="center" vertical="center"/>
    </xf>
    <xf numFmtId="0" fontId="0" fillId="35" borderId="0" xfId="0" applyFont="1" applyFill="1"/>
    <xf numFmtId="26" fontId="1" fillId="2" borderId="76" xfId="0" applyNumberFormat="1" applyFont="1" applyFill="1" applyBorder="1" applyAlignment="1">
      <alignment horizontal="center" vertical="center"/>
    </xf>
    <xf numFmtId="0" fontId="1" fillId="35" borderId="42" xfId="0" applyFont="1" applyFill="1" applyBorder="1" applyAlignment="1">
      <alignment horizontal="center" vertical="center"/>
    </xf>
    <xf numFmtId="43" fontId="53" fillId="2" borderId="94" xfId="1" applyFont="1" applyFill="1" applyBorder="1" applyAlignment="1">
      <alignment horizontal="center"/>
    </xf>
    <xf numFmtId="43" fontId="53" fillId="2" borderId="94" xfId="1" applyFont="1" applyFill="1" applyBorder="1"/>
    <xf numFmtId="43" fontId="53" fillId="27" borderId="94" xfId="1" applyFont="1" applyFill="1" applyBorder="1"/>
    <xf numFmtId="43" fontId="53" fillId="26" borderId="94" xfId="1" applyFont="1" applyFill="1" applyBorder="1"/>
    <xf numFmtId="43" fontId="53" fillId="34" borderId="94" xfId="1" applyFont="1" applyFill="1" applyBorder="1"/>
    <xf numFmtId="178" fontId="0" fillId="35" borderId="0" xfId="0" applyNumberFormat="1" applyFill="1" applyAlignment="1">
      <alignment horizontal="center" vertical="center"/>
    </xf>
    <xf numFmtId="0" fontId="54" fillId="2" borderId="0" xfId="0" applyFont="1" applyFill="1" applyAlignment="1">
      <alignment vertical="center"/>
    </xf>
    <xf numFmtId="0" fontId="54" fillId="27" borderId="0" xfId="0" applyFont="1" applyFill="1" applyAlignment="1">
      <alignment vertical="center"/>
    </xf>
    <xf numFmtId="0" fontId="54" fillId="26" borderId="0" xfId="0" applyFont="1" applyFill="1" applyAlignment="1">
      <alignment vertical="center"/>
    </xf>
    <xf numFmtId="0" fontId="54" fillId="34" borderId="41" xfId="0" applyFont="1" applyFill="1" applyBorder="1" applyAlignment="1">
      <alignment vertical="center"/>
    </xf>
    <xf numFmtId="0" fontId="3" fillId="35" borderId="0" xfId="0" applyFont="1" applyFill="1" applyAlignment="1">
      <alignment horizontal="center" vertical="center"/>
    </xf>
    <xf numFmtId="0" fontId="1" fillId="35" borderId="0" xfId="0" applyFont="1" applyFill="1" applyAlignment="1">
      <alignment horizontal="center" vertical="center"/>
    </xf>
    <xf numFmtId="0" fontId="64" fillId="2" borderId="51" xfId="0" applyFont="1" applyFill="1" applyBorder="1"/>
    <xf numFmtId="0" fontId="53" fillId="2" borderId="51" xfId="0" applyFont="1" applyFill="1" applyBorder="1"/>
    <xf numFmtId="0" fontId="53" fillId="2" borderId="51" xfId="0" applyFont="1" applyFill="1" applyBorder="1" applyAlignment="1">
      <alignment horizontal="center"/>
    </xf>
    <xf numFmtId="43" fontId="53" fillId="2" borderId="51" xfId="1" applyFont="1" applyFill="1" applyBorder="1"/>
    <xf numFmtId="0" fontId="53" fillId="2" borderId="50" xfId="0" applyFont="1" applyFill="1" applyBorder="1"/>
    <xf numFmtId="0" fontId="0" fillId="27" borderId="49" xfId="0" applyFill="1" applyBorder="1"/>
    <xf numFmtId="0" fontId="64" fillId="27" borderId="51" xfId="0" applyFont="1" applyFill="1" applyBorder="1"/>
    <xf numFmtId="0" fontId="53" fillId="27" borderId="51" xfId="0" applyFont="1" applyFill="1" applyBorder="1"/>
    <xf numFmtId="43" fontId="53" fillId="27" borderId="51" xfId="1" applyFont="1" applyFill="1" applyBorder="1"/>
    <xf numFmtId="0" fontId="53" fillId="27" borderId="51" xfId="0" applyFont="1" applyFill="1" applyBorder="1" applyAlignment="1">
      <alignment horizontal="center"/>
    </xf>
    <xf numFmtId="0" fontId="53" fillId="27" borderId="50" xfId="0" applyFont="1" applyFill="1" applyBorder="1"/>
    <xf numFmtId="0" fontId="0" fillId="26" borderId="49" xfId="0" applyFill="1" applyBorder="1"/>
    <xf numFmtId="0" fontId="64" fillId="26" borderId="51" xfId="0" applyFont="1" applyFill="1" applyBorder="1"/>
    <xf numFmtId="0" fontId="53" fillId="26" borderId="51" xfId="0" applyFont="1" applyFill="1" applyBorder="1"/>
    <xf numFmtId="43" fontId="53" fillId="26" borderId="51" xfId="1" applyFont="1" applyFill="1" applyBorder="1"/>
    <xf numFmtId="0" fontId="53" fillId="26" borderId="51" xfId="0" applyFont="1" applyFill="1" applyBorder="1" applyAlignment="1">
      <alignment horizontal="center"/>
    </xf>
    <xf numFmtId="0" fontId="53" fillId="26" borderId="50" xfId="0" applyFont="1" applyFill="1" applyBorder="1"/>
    <xf numFmtId="0" fontId="64" fillId="34" borderId="49" xfId="0" applyFont="1" applyFill="1" applyBorder="1"/>
    <xf numFmtId="0" fontId="53" fillId="34" borderId="51" xfId="0" applyFont="1" applyFill="1" applyBorder="1"/>
    <xf numFmtId="43" fontId="53" fillId="34" borderId="51" xfId="1" applyFont="1" applyFill="1" applyBorder="1"/>
    <xf numFmtId="0" fontId="53" fillId="34" borderId="50" xfId="0" applyFont="1" applyFill="1" applyBorder="1" applyAlignment="1">
      <alignment horizontal="center"/>
    </xf>
    <xf numFmtId="0" fontId="1" fillId="35" borderId="49" xfId="0" applyFont="1" applyFill="1" applyBorder="1" applyAlignment="1">
      <alignment horizontal="center" vertical="center"/>
    </xf>
    <xf numFmtId="0" fontId="3" fillId="35" borderId="51" xfId="0" applyFont="1" applyFill="1" applyBorder="1" applyAlignment="1">
      <alignment horizontal="center" vertical="center"/>
    </xf>
    <xf numFmtId="189" fontId="1" fillId="35" borderId="51" xfId="0" applyNumberFormat="1" applyFont="1" applyFill="1" applyBorder="1" applyAlignment="1">
      <alignment horizontal="center" vertical="center"/>
    </xf>
    <xf numFmtId="0" fontId="1" fillId="35" borderId="50" xfId="0" applyFont="1" applyFill="1" applyBorder="1" applyAlignment="1">
      <alignment horizontal="center" vertical="center"/>
    </xf>
    <xf numFmtId="189" fontId="4" fillId="0" borderId="0" xfId="0" applyNumberFormat="1" applyFont="1"/>
    <xf numFmtId="0" fontId="0" fillId="0" borderId="0" xfId="0" applyAlignment="1">
      <alignment horizontal="right"/>
    </xf>
    <xf numFmtId="189" fontId="55" fillId="0" borderId="0" xfId="0" applyNumberFormat="1" applyFont="1" applyAlignment="1">
      <alignment horizontal="center" vertical="center"/>
    </xf>
    <xf numFmtId="26" fontId="55" fillId="0" borderId="0" xfId="0" applyNumberFormat="1" applyFont="1" applyAlignment="1">
      <alignment horizontal="center" vertical="center"/>
    </xf>
    <xf numFmtId="189" fontId="0" fillId="0" borderId="0" xfId="0" applyNumberFormat="1" applyAlignment="1">
      <alignment horizontal="left"/>
    </xf>
    <xf numFmtId="43" fontId="0" fillId="0" borderId="0" xfId="0" applyNumberFormat="1"/>
    <xf numFmtId="43" fontId="91" fillId="0" borderId="0" xfId="0" applyNumberFormat="1" applyFont="1"/>
    <xf numFmtId="177" fontId="0" fillId="0" borderId="0" xfId="0" applyNumberFormat="1"/>
    <xf numFmtId="43" fontId="0" fillId="0" borderId="0" xfId="0" applyNumberFormat="1" applyAlignment="1">
      <alignment horizontal="center"/>
    </xf>
    <xf numFmtId="189" fontId="3" fillId="0" borderId="0" xfId="0" applyNumberFormat="1" applyFont="1" applyAlignment="1">
      <alignment horizontal="center" vertical="center"/>
    </xf>
    <xf numFmtId="199" fontId="0" fillId="0" borderId="0" xfId="0" applyNumberFormat="1" applyAlignment="1">
      <alignment horizontal="left"/>
    </xf>
    <xf numFmtId="198" fontId="0" fillId="0" borderId="0" xfId="0" applyNumberFormat="1"/>
    <xf numFmtId="199" fontId="0" fillId="0" borderId="0" xfId="0" applyNumberFormat="1"/>
    <xf numFmtId="178" fontId="10" fillId="0" borderId="0" xfId="0" applyNumberFormat="1" applyFont="1" applyAlignment="1">
      <alignment horizontal="center" vertical="center"/>
    </xf>
    <xf numFmtId="181" fontId="0" fillId="0" borderId="0" xfId="0" applyNumberFormat="1" applyAlignment="1">
      <alignment horizontal="left"/>
    </xf>
    <xf numFmtId="43" fontId="0" fillId="0" borderId="0" xfId="0" applyNumberFormat="1" applyAlignment="1">
      <alignment vertical="top"/>
    </xf>
    <xf numFmtId="197" fontId="0" fillId="0" borderId="0" xfId="0" applyNumberFormat="1"/>
    <xf numFmtId="44" fontId="0" fillId="0" borderId="0" xfId="0" applyNumberFormat="1"/>
    <xf numFmtId="25" fontId="0" fillId="0" borderId="0" xfId="0" applyNumberFormat="1"/>
    <xf numFmtId="195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6" fillId="2" borderId="39" xfId="0" applyFont="1" applyFill="1" applyBorder="1" applyAlignment="1" quotePrefix="1">
      <alignment horizontal="left"/>
    </xf>
    <xf numFmtId="0" fontId="96" fillId="27" borderId="39" xfId="0" applyFont="1" applyFill="1" applyBorder="1" applyAlignment="1" quotePrefix="1">
      <alignment horizontal="left"/>
    </xf>
    <xf numFmtId="0" fontId="96" fillId="26" borderId="39" xfId="0" applyFont="1" applyFill="1" applyBorder="1" applyAlignment="1" quotePrefix="1">
      <alignment horizontal="left"/>
    </xf>
    <xf numFmtId="0" fontId="96" fillId="34" borderId="38" xfId="0" applyFont="1" applyFill="1" applyBorder="1" applyAlignment="1" quotePrefix="1">
      <alignment horizontal="left"/>
    </xf>
    <xf numFmtId="0" fontId="99" fillId="2" borderId="0" xfId="0" applyFont="1" applyFill="1" applyAlignment="1" quotePrefix="1">
      <alignment horizontal="left"/>
    </xf>
    <xf numFmtId="0" fontId="99" fillId="27" borderId="0" xfId="0" applyFont="1" applyFill="1" applyAlignment="1" quotePrefix="1">
      <alignment horizontal="left"/>
    </xf>
    <xf numFmtId="0" fontId="99" fillId="26" borderId="0" xfId="0" applyFont="1" applyFill="1" applyAlignment="1" quotePrefix="1">
      <alignment horizontal="left"/>
    </xf>
    <xf numFmtId="0" fontId="99" fillId="34" borderId="41" xfId="0" applyFont="1" applyFill="1" applyBorder="1" applyAlignment="1" quotePrefix="1">
      <alignment horizontal="left"/>
    </xf>
    <xf numFmtId="0" fontId="54" fillId="2" borderId="0" xfId="0" applyFont="1" applyFill="1" applyAlignment="1" quotePrefix="1">
      <alignment horizontal="left"/>
    </xf>
    <xf numFmtId="0" fontId="54" fillId="27" borderId="0" xfId="0" applyFont="1" applyFill="1" applyAlignment="1" quotePrefix="1">
      <alignment horizontal="left"/>
    </xf>
    <xf numFmtId="0" fontId="54" fillId="26" borderId="0" xfId="0" applyFont="1" applyFill="1" applyAlignment="1" quotePrefix="1">
      <alignment horizontal="left"/>
    </xf>
    <xf numFmtId="0" fontId="54" fillId="34" borderId="41" xfId="0" applyFont="1" applyFill="1" applyBorder="1" applyAlignment="1" quotePrefix="1">
      <alignment horizontal="left"/>
    </xf>
    <xf numFmtId="0" fontId="100" fillId="2" borderId="0" xfId="0" applyFont="1" applyFill="1" applyAlignment="1" quotePrefix="1">
      <alignment horizontal="left"/>
    </xf>
    <xf numFmtId="0" fontId="100" fillId="27" borderId="0" xfId="0" applyFont="1" applyFill="1" applyAlignment="1" quotePrefix="1">
      <alignment horizontal="left"/>
    </xf>
    <xf numFmtId="0" fontId="100" fillId="26" borderId="0" xfId="0" applyFont="1" applyFill="1" applyAlignment="1" quotePrefix="1">
      <alignment horizontal="left"/>
    </xf>
    <xf numFmtId="0" fontId="100" fillId="34" borderId="41" xfId="0" applyFont="1" applyFill="1" applyBorder="1" applyAlignment="1" quotePrefix="1">
      <alignment horizontal="left"/>
    </xf>
    <xf numFmtId="0" fontId="7" fillId="0" borderId="39" xfId="0" applyFont="1" applyBorder="1" applyAlignment="1" quotePrefix="1">
      <alignment horizontal="center" vertical="center"/>
    </xf>
    <xf numFmtId="0" fontId="9" fillId="0" borderId="0" xfId="0" applyFont="1" applyAlignment="1" quotePrefix="1">
      <alignment horizontal="left"/>
    </xf>
    <xf numFmtId="0" fontId="10" fillId="0" borderId="0" xfId="0" applyFont="1" applyAlignment="1" quotePrefix="1">
      <alignment horizontal="left"/>
    </xf>
    <xf numFmtId="0" fontId="12" fillId="0" borderId="0" xfId="0" applyFont="1" applyAlignment="1" quotePrefix="1">
      <alignment horizontal="left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 4" xfId="49"/>
    <cellStyle name="Normal_SABANG" xfId="50"/>
    <cellStyle name="一般_Sheet1" xfId="51"/>
  </cellStyles>
  <dxfs count="18">
    <dxf>
      <font>
        <family val="2"/>
        <strike val="0"/>
        <sz val="10"/>
        <color rgb="FF9C0006"/>
      </font>
      <fill>
        <patternFill patternType="solid">
          <bgColor rgb="FFFFC7CE"/>
        </patternFill>
      </fill>
    </dxf>
    <dxf>
      <font>
        <family val="2"/>
        <strike val="0"/>
        <sz val="10"/>
        <color rgb="FF006100"/>
      </font>
      <fill>
        <patternFill patternType="solid">
          <bgColor rgb="FFC6EFCE"/>
        </patternFill>
      </fill>
    </dxf>
    <dxf>
      <font>
        <family val="2"/>
        <strike val="0"/>
        <sz val="10"/>
        <color rgb="FF006100"/>
      </font>
      <fill>
        <patternFill patternType="solid">
          <bgColor rgb="FFC6EFCE"/>
        </patternFill>
      </fill>
    </dxf>
    <dxf>
      <font>
        <family val="2"/>
        <strike val="0"/>
        <sz val="10"/>
        <color rgb="FF9C0006"/>
      </font>
      <fill>
        <patternFill patternType="solid">
          <bgColor rgb="FFFFC7CE"/>
        </patternFill>
      </fill>
    </dxf>
    <dxf>
      <font>
        <family val="2"/>
        <strike val="0"/>
        <sz val="10"/>
        <color rgb="FF9C5700"/>
      </font>
      <fill>
        <patternFill patternType="solid">
          <bgColor rgb="FFFFEB9C"/>
        </patternFill>
      </fill>
    </dxf>
    <dxf>
      <font>
        <family val="2"/>
        <strike val="0"/>
        <sz val="10"/>
        <color rgb="FF9C5700"/>
      </font>
      <fill>
        <patternFill patternType="solid">
          <bgColor rgb="FFFFEB9C"/>
        </patternFill>
      </fill>
    </dxf>
    <dxf>
      <font>
        <color theme="7" tint="-0.499984740745262"/>
      </font>
      <fill>
        <patternFill patternType="solid">
          <bgColor theme="7" tint="0.599993896298105"/>
        </patternFill>
      </fill>
    </dxf>
    <dxf>
      <fill>
        <patternFill patternType="solid">
          <bgColor theme="7" tint="0.59999389629810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family val="2"/>
        <strike val="0"/>
        <sz val="10"/>
        <color rgb="FF9C0006"/>
      </font>
      <fill>
        <patternFill patternType="solid">
          <bgColor theme="8" tint="0.599963377788629"/>
        </patternFill>
      </fill>
    </dxf>
    <dxf>
      <font>
        <family val="2"/>
        <strike val="0"/>
        <sz val="10"/>
        <color rgb="FF9C0006"/>
      </font>
      <fill>
        <patternFill patternType="solid">
          <bgColor theme="6" tint="0.599963377788629"/>
        </patternFill>
      </fill>
    </dxf>
    <dxf>
      <font>
        <family val="2"/>
        <strike val="0"/>
        <sz val="10"/>
        <color rgb="FF00B050"/>
      </font>
      <fill>
        <patternFill patternType="solid">
          <bgColor rgb="FFFFC7CE"/>
        </patternFill>
      </fill>
    </dxf>
    <dxf>
      <font>
        <family val="2"/>
        <strike val="0"/>
        <sz val="10"/>
        <color theme="9" tint="0.399395733512375"/>
      </font>
      <fill>
        <patternFill patternType="solid">
          <bgColor rgb="FFFFC7CE"/>
        </patternFill>
      </fill>
    </dxf>
    <dxf>
      <font>
        <color theme="7" tint="-0.499984740745262"/>
      </font>
      <fill>
        <patternFill patternType="solid">
          <bgColor theme="7" tint="0.399731437116611"/>
        </patternFill>
      </fill>
    </dxf>
    <dxf>
      <fill>
        <patternFill patternType="solid">
          <bgColor theme="7" tint="0.399731437116611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kdocs.cn/l/ckynNazqxc5c" TargetMode="External"/><Relationship Id="rId4" Type="http://schemas.openxmlformats.org/officeDocument/2006/relationships/hyperlink" Target="https://www.kdocs.cn/l/cdUA5s6Y88Jg" TargetMode="External"/><Relationship Id="rId3" Type="http://schemas.openxmlformats.org/officeDocument/2006/relationships/hyperlink" Target="https://www.kdocs.cn/l/cf95giIKvGKz" TargetMode="External"/><Relationship Id="rId2" Type="http://schemas.openxmlformats.org/officeDocument/2006/relationships/hyperlink" Target="https://www.kdocs.cn/l/cd4r0145L4ap" TargetMode="External"/><Relationship Id="rId1" Type="http://schemas.openxmlformats.org/officeDocument/2006/relationships/hyperlink" Target="https://www.kdocs.cn/l/cuZmVlLKLmYq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docs.cn/l/cci6KBxksrQA" TargetMode="External"/><Relationship Id="rId8" Type="http://schemas.openxmlformats.org/officeDocument/2006/relationships/hyperlink" Target="https://www.kdocs.cn/l/cdOGp0jPVR4G" TargetMode="External"/><Relationship Id="rId7" Type="http://schemas.openxmlformats.org/officeDocument/2006/relationships/hyperlink" Target="https://www.kdocs.cn/l/cvMoqXGQhF8D" TargetMode="External"/><Relationship Id="rId6" Type="http://schemas.openxmlformats.org/officeDocument/2006/relationships/hyperlink" Target="https://www.kdocs.cn/l/cfZIW0eoUhq3" TargetMode="External"/><Relationship Id="rId5" Type="http://schemas.openxmlformats.org/officeDocument/2006/relationships/hyperlink" Target="https://www.kdocs.cn/l/ckfJJCQ1SlSj" TargetMode="External"/><Relationship Id="rId4" Type="http://schemas.openxmlformats.org/officeDocument/2006/relationships/hyperlink" Target="https://www.kdocs.cn/l/chc8whHU5675" TargetMode="External"/><Relationship Id="rId3" Type="http://schemas.openxmlformats.org/officeDocument/2006/relationships/hyperlink" Target="https://www.kdocs.cn/l/cqaniDlqWHsH" TargetMode="External"/><Relationship Id="rId22" Type="http://schemas.openxmlformats.org/officeDocument/2006/relationships/hyperlink" Target="../../../../../xwechat_files/wxid_f6u7tp705yme22_fdaf/msg/file/2026-10/Pioneer Lady &#21457;&#31080;&#32416;&#27491;/7&#26376;&#20221;&#21407;&#33337;&#31649;&#20249;&#39135;&#27424;&#27454;1544&#32654;&#20803;&#25910;&#25454;.pdf" TargetMode="External"/><Relationship Id="rId21" Type="http://schemas.openxmlformats.org/officeDocument/2006/relationships/hyperlink" Target="https://www.kdocs.cn/l/cuGO5xCcUbTN" TargetMode="External"/><Relationship Id="rId20" Type="http://schemas.openxmlformats.org/officeDocument/2006/relationships/hyperlink" Target="https://www.kdocs.cn/l/cgugReAc3CkK" TargetMode="External"/><Relationship Id="rId2" Type="http://schemas.openxmlformats.org/officeDocument/2006/relationships/hyperlink" Target="https://www.kdocs.cn/l/cq6tl2UNN0BB" TargetMode="External"/><Relationship Id="rId19" Type="http://schemas.openxmlformats.org/officeDocument/2006/relationships/hyperlink" Target="https://www.kdocs.cn/l/csRo7hPc67V7" TargetMode="External"/><Relationship Id="rId18" Type="http://schemas.openxmlformats.org/officeDocument/2006/relationships/hyperlink" Target="https://www.kdocs.cn/l/caWhrh6l9mSX" TargetMode="External"/><Relationship Id="rId17" Type="http://schemas.openxmlformats.org/officeDocument/2006/relationships/hyperlink" Target="https://www.kdocs.cn/l/ccx8R0p5HklE" TargetMode="External"/><Relationship Id="rId16" Type="http://schemas.openxmlformats.org/officeDocument/2006/relationships/hyperlink" Target="https://www.kdocs.cn/l/ca26NOGsbJGE" TargetMode="External"/><Relationship Id="rId15" Type="http://schemas.openxmlformats.org/officeDocument/2006/relationships/hyperlink" Target="https://www.kdocs.cn/l/cbtPFAUAoPRh" TargetMode="External"/><Relationship Id="rId14" Type="http://schemas.openxmlformats.org/officeDocument/2006/relationships/hyperlink" Target="https://www.kdocs.cn/l/caCLSFtAFibS" TargetMode="External"/><Relationship Id="rId13" Type="http://schemas.openxmlformats.org/officeDocument/2006/relationships/hyperlink" Target="https://www.kdocs.cn/l/cleX8jSZpE66" TargetMode="External"/><Relationship Id="rId12" Type="http://schemas.openxmlformats.org/officeDocument/2006/relationships/hyperlink" Target="https://www.kdocs.cn/l/caZLevLixz4G" TargetMode="External"/><Relationship Id="rId11" Type="http://schemas.openxmlformats.org/officeDocument/2006/relationships/hyperlink" Target="https://www.kdocs.cn/l/cps7IgjdwsXv" TargetMode="External"/><Relationship Id="rId10" Type="http://schemas.openxmlformats.org/officeDocument/2006/relationships/hyperlink" Target="https://www.kdocs.cn/l/cj3MredZUzdK" TargetMode="External"/><Relationship Id="rId1" Type="http://schemas.openxmlformats.org/officeDocument/2006/relationships/hyperlink" Target="https://www.kdocs.cn/l/cgZagPWZGH4Z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docs.cn/l/cc3qHGqZKRw0" TargetMode="External"/><Relationship Id="rId85" Type="http://schemas.openxmlformats.org/officeDocument/2006/relationships/hyperlink" Target="https://www.kdocs.cn/l/csMpMSI4OboS" TargetMode="External"/><Relationship Id="rId84" Type="http://schemas.openxmlformats.org/officeDocument/2006/relationships/hyperlink" Target="https://www.kdocs.cn/l/clphAtZvqpm9" TargetMode="External"/><Relationship Id="rId83" Type="http://schemas.openxmlformats.org/officeDocument/2006/relationships/hyperlink" Target="https://www.kdocs.cn/l/cr2QreUtfnbt" TargetMode="External"/><Relationship Id="rId82" Type="http://schemas.openxmlformats.org/officeDocument/2006/relationships/hyperlink" Target="https://www.kdocs.cn/l/cssNktaaj4IY" TargetMode="External"/><Relationship Id="rId81" Type="http://schemas.openxmlformats.org/officeDocument/2006/relationships/hyperlink" Target="https://www.kdocs.cn/l/coGxHNQybHI7" TargetMode="External"/><Relationship Id="rId80" Type="http://schemas.openxmlformats.org/officeDocument/2006/relationships/hyperlink" Target="https://www.kdocs.cn/l/cpsRMgoarFuL" TargetMode="External"/><Relationship Id="rId8" Type="http://schemas.openxmlformats.org/officeDocument/2006/relationships/hyperlink" Target="https://www.kdocs.cn/l/cps7IgjdwsXv" TargetMode="External"/><Relationship Id="rId79" Type="http://schemas.openxmlformats.org/officeDocument/2006/relationships/hyperlink" Target="https://www.kdocs.cn/l/cpIOlAEXCTZ6" TargetMode="External"/><Relationship Id="rId78" Type="http://schemas.openxmlformats.org/officeDocument/2006/relationships/hyperlink" Target="https://www.kdocs.cn/l/chPCevgO5Poi" TargetMode="External"/><Relationship Id="rId77" Type="http://schemas.openxmlformats.org/officeDocument/2006/relationships/hyperlink" Target="https://www.kdocs.cn/l/coKDC1TGVjxc" TargetMode="External"/><Relationship Id="rId76" Type="http://schemas.openxmlformats.org/officeDocument/2006/relationships/hyperlink" Target="https://www.kdocs.cn/l/ckpIEjZz45xl" TargetMode="External"/><Relationship Id="rId75" Type="http://schemas.openxmlformats.org/officeDocument/2006/relationships/hyperlink" Target="https://www.kdocs.cn/l/cbiGwfXyjC7i" TargetMode="External"/><Relationship Id="rId74" Type="http://schemas.openxmlformats.org/officeDocument/2006/relationships/hyperlink" Target="https://www.kdocs.cn/l/cs0Dj3fUQoHh" TargetMode="External"/><Relationship Id="rId73" Type="http://schemas.openxmlformats.org/officeDocument/2006/relationships/hyperlink" Target="https://www.kdocs.cn/l/ciGWEHC8erfB" TargetMode="External"/><Relationship Id="rId72" Type="http://schemas.openxmlformats.org/officeDocument/2006/relationships/hyperlink" Target="https://www.kdocs.cn/l/caYe6arV8U7n" TargetMode="External"/><Relationship Id="rId71" Type="http://schemas.openxmlformats.org/officeDocument/2006/relationships/hyperlink" Target="https://www.kdocs.cn/l/cp6VHBfhwH3o" TargetMode="External"/><Relationship Id="rId70" Type="http://schemas.openxmlformats.org/officeDocument/2006/relationships/hyperlink" Target="https://www.kdocs.cn/l/cbXMwxvmUdMi" TargetMode="External"/><Relationship Id="rId7" Type="http://schemas.openxmlformats.org/officeDocument/2006/relationships/hyperlink" Target="https://www.kdocs.cn/l/cuC0HtSuXK4J" TargetMode="External"/><Relationship Id="rId69" Type="http://schemas.openxmlformats.org/officeDocument/2006/relationships/hyperlink" Target="https://www.kdocs.cn/l/cl8pnK3fwMwp" TargetMode="External"/><Relationship Id="rId68" Type="http://schemas.openxmlformats.org/officeDocument/2006/relationships/hyperlink" Target="https://www.kdocs.cn/l/cmgtxU8eiAER" TargetMode="External"/><Relationship Id="rId67" Type="http://schemas.openxmlformats.org/officeDocument/2006/relationships/hyperlink" Target="https://www.kdocs.cn/l/cnzCibLDGFl1" TargetMode="External"/><Relationship Id="rId66" Type="http://schemas.openxmlformats.org/officeDocument/2006/relationships/hyperlink" Target="https://www.kdocs.cn/l/cvkk20PlXe9f" TargetMode="External"/><Relationship Id="rId65" Type="http://schemas.openxmlformats.org/officeDocument/2006/relationships/hyperlink" Target="https://www.kdocs.cn/l/cvRoNBZfofeY" TargetMode="External"/><Relationship Id="rId64" Type="http://schemas.openxmlformats.org/officeDocument/2006/relationships/hyperlink" Target="https://www.kdocs.cn/l/cvbaXzXZgmEK" TargetMode="External"/><Relationship Id="rId63" Type="http://schemas.openxmlformats.org/officeDocument/2006/relationships/hyperlink" Target="https://www.kdocs.cn/l/cc4yJmtsWqMH" TargetMode="External"/><Relationship Id="rId62" Type="http://schemas.openxmlformats.org/officeDocument/2006/relationships/hyperlink" Target="https://www.kdocs.cn/l/cbTbPjvPsZDk" TargetMode="External"/><Relationship Id="rId61" Type="http://schemas.openxmlformats.org/officeDocument/2006/relationships/hyperlink" Target="https://www.kdocs.cn/l/clAIcBf02TeA" TargetMode="External"/><Relationship Id="rId60" Type="http://schemas.openxmlformats.org/officeDocument/2006/relationships/hyperlink" Target="https://www.kdocs.cn/l/crlefpbSpmSX" TargetMode="External"/><Relationship Id="rId6" Type="http://schemas.openxmlformats.org/officeDocument/2006/relationships/hyperlink" Target="https://www.kdocs.cn/l/cplgiaxAwVfh" TargetMode="External"/><Relationship Id="rId59" Type="http://schemas.openxmlformats.org/officeDocument/2006/relationships/hyperlink" Target="https://www.kdocs.cn/l/cfIgBmMrSizC" TargetMode="External"/><Relationship Id="rId58" Type="http://schemas.openxmlformats.org/officeDocument/2006/relationships/hyperlink" Target="https://www.kdocs.cn/l/cghz5EExszi4" TargetMode="External"/><Relationship Id="rId57" Type="http://schemas.openxmlformats.org/officeDocument/2006/relationships/hyperlink" Target="https://www.kdocs.cn/l/csNzi4LduyID" TargetMode="External"/><Relationship Id="rId56" Type="http://schemas.openxmlformats.org/officeDocument/2006/relationships/hyperlink" Target="https://www.kdocs.cn/l/chFiqrFWoFhm" TargetMode="External"/><Relationship Id="rId55" Type="http://schemas.openxmlformats.org/officeDocument/2006/relationships/hyperlink" Target="https://www.kdocs.cn/l/ciwZLGjpS8KL" TargetMode="External"/><Relationship Id="rId54" Type="http://schemas.openxmlformats.org/officeDocument/2006/relationships/hyperlink" Target="https://www.kdocs.cn/l/ckK0dSaf7YMX" TargetMode="External"/><Relationship Id="rId53" Type="http://schemas.openxmlformats.org/officeDocument/2006/relationships/hyperlink" Target="https://www.kdocs.cn/l/cvDH3M6RYt1g" TargetMode="External"/><Relationship Id="rId52" Type="http://schemas.openxmlformats.org/officeDocument/2006/relationships/hyperlink" Target="https://www.kdocs.cn/l/cmzwZHHh19E2" TargetMode="External"/><Relationship Id="rId51" Type="http://schemas.openxmlformats.org/officeDocument/2006/relationships/hyperlink" Target="https://www.kdocs.cn/l/cqLrki36DGIo" TargetMode="External"/><Relationship Id="rId50" Type="http://schemas.openxmlformats.org/officeDocument/2006/relationships/hyperlink" Target="https://www.kdocs.cn/l/caCLSFtAFibS" TargetMode="External"/><Relationship Id="rId5" Type="http://schemas.openxmlformats.org/officeDocument/2006/relationships/hyperlink" Target="https://www.kdocs.cn/l/chxfFpDeIjsS" TargetMode="External"/><Relationship Id="rId49" Type="http://schemas.openxmlformats.org/officeDocument/2006/relationships/hyperlink" Target="https://www.kdocs.cn/l/cbtPFAUAoPRh" TargetMode="External"/><Relationship Id="rId48" Type="http://schemas.openxmlformats.org/officeDocument/2006/relationships/hyperlink" Target="https://www.kdocs.cn/l/cleX8jSZpE66" TargetMode="External"/><Relationship Id="rId47" Type="http://schemas.openxmlformats.org/officeDocument/2006/relationships/hyperlink" Target="https://www.kdocs.cn/l/ccQFrOuNWD4J" TargetMode="External"/><Relationship Id="rId46" Type="http://schemas.openxmlformats.org/officeDocument/2006/relationships/hyperlink" Target="https://www.kdocs.cn/l/csRo7hPc67V7" TargetMode="External"/><Relationship Id="rId45" Type="http://schemas.openxmlformats.org/officeDocument/2006/relationships/hyperlink" Target="https://www.kdocs.cn/l/ccx8R0p5HklE" TargetMode="External"/><Relationship Id="rId44" Type="http://schemas.openxmlformats.org/officeDocument/2006/relationships/hyperlink" Target="https://www.kdocs.cn/l/ca26NOGsbJGE" TargetMode="External"/><Relationship Id="rId43" Type="http://schemas.openxmlformats.org/officeDocument/2006/relationships/hyperlink" Target="https://www.kdocs.cn/l/cbhYwaYJGdje" TargetMode="External"/><Relationship Id="rId42" Type="http://schemas.openxmlformats.org/officeDocument/2006/relationships/hyperlink" Target="https://www.kdocs.cn/l/cqv01AzA34bE" TargetMode="External"/><Relationship Id="rId41" Type="http://schemas.openxmlformats.org/officeDocument/2006/relationships/hyperlink" Target="https://www.kdocs.cn/l/cumsZIvYc9jb" TargetMode="External"/><Relationship Id="rId40" Type="http://schemas.openxmlformats.org/officeDocument/2006/relationships/hyperlink" Target="https://www.kdocs.cn/l/cp1drY7Thdcw" TargetMode="External"/><Relationship Id="rId4" Type="http://schemas.openxmlformats.org/officeDocument/2006/relationships/hyperlink" Target="https://www.kdocs.cn/l/ckRhnYT9nexa" TargetMode="External"/><Relationship Id="rId39" Type="http://schemas.openxmlformats.org/officeDocument/2006/relationships/hyperlink" Target="https://www.kdocs.cn/l/cd21Ib6TBB2X" TargetMode="External"/><Relationship Id="rId38" Type="http://schemas.openxmlformats.org/officeDocument/2006/relationships/hyperlink" Target="https://www.kdocs.cn/l/cur1FrgZIBcW" TargetMode="External"/><Relationship Id="rId37" Type="http://schemas.openxmlformats.org/officeDocument/2006/relationships/hyperlink" Target="https://www.kdocs.cn/l/cakfOW4ujNne" TargetMode="External"/><Relationship Id="rId36" Type="http://schemas.openxmlformats.org/officeDocument/2006/relationships/hyperlink" Target="https://www.kdocs.cn/l/cuQKTk6LeYsO" TargetMode="External"/><Relationship Id="rId35" Type="http://schemas.openxmlformats.org/officeDocument/2006/relationships/hyperlink" Target="https://www.kdocs.cn/l/cuTJHkiP0IBJ" TargetMode="External"/><Relationship Id="rId34" Type="http://schemas.openxmlformats.org/officeDocument/2006/relationships/hyperlink" Target="https://www.kdocs.cn/l/cfgkcRVbriB9" TargetMode="External"/><Relationship Id="rId33" Type="http://schemas.openxmlformats.org/officeDocument/2006/relationships/hyperlink" Target="https://www.kdocs.cn/l/cvmUflWii8xy" TargetMode="External"/><Relationship Id="rId32" Type="http://schemas.openxmlformats.org/officeDocument/2006/relationships/hyperlink" Target="https://www.kdocs.cn/l/ctuDRnniniiz" TargetMode="External"/><Relationship Id="rId31" Type="http://schemas.openxmlformats.org/officeDocument/2006/relationships/hyperlink" Target="https://www.kdocs.cn/l/coHAHXqcNiyo" TargetMode="External"/><Relationship Id="rId30" Type="http://schemas.openxmlformats.org/officeDocument/2006/relationships/hyperlink" Target="https://www.kdocs.cn/l/cqf3vvUiK6AR" TargetMode="External"/><Relationship Id="rId3" Type="http://schemas.openxmlformats.org/officeDocument/2006/relationships/hyperlink" Target="https://www.kdocs.cn/l/cj4lQXpTRHth" TargetMode="External"/><Relationship Id="rId29" Type="http://schemas.openxmlformats.org/officeDocument/2006/relationships/hyperlink" Target="https://www.kdocs.cn/l/ciAgvmekFguS" TargetMode="External"/><Relationship Id="rId28" Type="http://schemas.openxmlformats.org/officeDocument/2006/relationships/hyperlink" Target="https://www.kdocs.cn/l/cmt5Dq4GeyLh" TargetMode="External"/><Relationship Id="rId27" Type="http://schemas.openxmlformats.org/officeDocument/2006/relationships/hyperlink" Target="https://www.kdocs.cn/l/cu7qZUBoHy72" TargetMode="External"/><Relationship Id="rId26" Type="http://schemas.openxmlformats.org/officeDocument/2006/relationships/hyperlink" Target="https://www.kdocs.cn/l/cexLEUyER0ca" TargetMode="External"/><Relationship Id="rId25" Type="http://schemas.openxmlformats.org/officeDocument/2006/relationships/hyperlink" Target="https://www.kdocs.cn/l/cjzDlpyY4yAW" TargetMode="External"/><Relationship Id="rId24" Type="http://schemas.openxmlformats.org/officeDocument/2006/relationships/hyperlink" Target="https://www.kdocs.cn/l/cqYd3gqmSKEz" TargetMode="External"/><Relationship Id="rId23" Type="http://schemas.openxmlformats.org/officeDocument/2006/relationships/hyperlink" Target="https://www.kdocs.cn/l/cq1JsX9ZV2O9" TargetMode="External"/><Relationship Id="rId22" Type="http://schemas.openxmlformats.org/officeDocument/2006/relationships/hyperlink" Target="https://www.kdocs.cn/l/cnRnO9cgF0yR" TargetMode="External"/><Relationship Id="rId21" Type="http://schemas.openxmlformats.org/officeDocument/2006/relationships/hyperlink" Target="https://www.kdocs.cn/l/ciTJtiAD0QCW" TargetMode="External"/><Relationship Id="rId20" Type="http://schemas.openxmlformats.org/officeDocument/2006/relationships/hyperlink" Target="https://www.kdocs.cn/l/coaFM4jsUo8w" TargetMode="External"/><Relationship Id="rId2" Type="http://schemas.openxmlformats.org/officeDocument/2006/relationships/hyperlink" Target="https://www.kdocs.cn/l/cej3dHf09MXY" TargetMode="External"/><Relationship Id="rId19" Type="http://schemas.openxmlformats.org/officeDocument/2006/relationships/hyperlink" Target="https://www.kdocs.cn/l/cpREGIK0AofO" TargetMode="External"/><Relationship Id="rId18" Type="http://schemas.openxmlformats.org/officeDocument/2006/relationships/hyperlink" Target="https://www.kdocs.cn/l/ccYB6qC4QllX" TargetMode="External"/><Relationship Id="rId17" Type="http://schemas.openxmlformats.org/officeDocument/2006/relationships/hyperlink" Target="https://www.kdocs.cn/l/ciKJup9Rn1PV" TargetMode="External"/><Relationship Id="rId16" Type="http://schemas.openxmlformats.org/officeDocument/2006/relationships/hyperlink" Target="https://www.kdocs.cn/l/ckP6vFh2WiPm" TargetMode="External"/><Relationship Id="rId15" Type="http://schemas.openxmlformats.org/officeDocument/2006/relationships/hyperlink" Target="https://www.kdocs.cn/l/ciiw4zmSs3sk" TargetMode="External"/><Relationship Id="rId14" Type="http://schemas.openxmlformats.org/officeDocument/2006/relationships/hyperlink" Target="https://www.kdocs.cn/l/chE0fvGjhg9Y" TargetMode="External"/><Relationship Id="rId13" Type="http://schemas.openxmlformats.org/officeDocument/2006/relationships/hyperlink" Target="https://www.kdocs.cn/l/ccy2L7ZhwOzP" TargetMode="External"/><Relationship Id="rId12" Type="http://schemas.openxmlformats.org/officeDocument/2006/relationships/hyperlink" Target="https://www.kdocs.cn/l/coYugTqdKTbN" TargetMode="External"/><Relationship Id="rId11" Type="http://schemas.openxmlformats.org/officeDocument/2006/relationships/hyperlink" Target="https://www.kdocs.cn/l/cmFi8uwcT4EM" TargetMode="External"/><Relationship Id="rId10" Type="http://schemas.openxmlformats.org/officeDocument/2006/relationships/hyperlink" Target="https://www.kdocs.cn/l/caAOVfoo6j8o" TargetMode="External"/><Relationship Id="rId1" Type="http://schemas.openxmlformats.org/officeDocument/2006/relationships/hyperlink" Target="https://www.kdocs.cn/l/ch8nwxntDUp6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docs.cn/l/cfHnz5Z2v7po" TargetMode="External"/><Relationship Id="rId8" Type="http://schemas.openxmlformats.org/officeDocument/2006/relationships/hyperlink" Target="https://www.kdocs.cn/l/cmvR2CYbmskN" TargetMode="External"/><Relationship Id="rId7" Type="http://schemas.openxmlformats.org/officeDocument/2006/relationships/hyperlink" Target="https://www.kdocs.cn/l/ccxFoc3MMtnx" TargetMode="External"/><Relationship Id="rId6" Type="http://schemas.openxmlformats.org/officeDocument/2006/relationships/hyperlink" Target="https://www.kdocs.cn/l/cj3MredZUzdK" TargetMode="External"/><Relationship Id="rId5" Type="http://schemas.openxmlformats.org/officeDocument/2006/relationships/hyperlink" Target="https://www.kdocs.cn/l/chc8whHU5675" TargetMode="External"/><Relationship Id="rId4" Type="http://schemas.openxmlformats.org/officeDocument/2006/relationships/hyperlink" Target="https://www.kdocs.cn/l/cqaniDlqWHsH" TargetMode="External"/><Relationship Id="rId3" Type="http://schemas.openxmlformats.org/officeDocument/2006/relationships/hyperlink" Target="https://www.kdocs.cn/l/cgZagPWZGH4Z" TargetMode="External"/><Relationship Id="rId2" Type="http://schemas.openxmlformats.org/officeDocument/2006/relationships/hyperlink" Target="https://www.kdocs.cn/l/cdL5sN4xe51o" TargetMode="External"/><Relationship Id="rId14" Type="http://schemas.openxmlformats.org/officeDocument/2006/relationships/hyperlink" Target="https://www.kdocs.cn/l/cgRMiUxxiM4c" TargetMode="External"/><Relationship Id="rId13" Type="http://schemas.openxmlformats.org/officeDocument/2006/relationships/hyperlink" Target="https://www.kdocs.cn/l/cuEoFLs3dTG8" TargetMode="External"/><Relationship Id="rId12" Type="http://schemas.openxmlformats.org/officeDocument/2006/relationships/hyperlink" Target="https://www.kdocs.cn/l/cgugReAc3CkK" TargetMode="External"/><Relationship Id="rId11" Type="http://schemas.openxmlformats.org/officeDocument/2006/relationships/hyperlink" Target="https://www.kdocs.cn/l/caZLevLixz4G" TargetMode="External"/><Relationship Id="rId10" Type="http://schemas.openxmlformats.org/officeDocument/2006/relationships/hyperlink" Target="https://www.kdocs.cn/l/cphQiJGDTi3J" TargetMode="External"/><Relationship Id="rId1" Type="http://schemas.openxmlformats.org/officeDocument/2006/relationships/hyperlink" Target="https://www.kdocs.cn/l/csmmtrLBUTWL" TargetMode="Externa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docs.cn/l/ce3PFWcwcMJe" TargetMode="External"/><Relationship Id="rId8" Type="http://schemas.openxmlformats.org/officeDocument/2006/relationships/hyperlink" Target="https://www.kdocs.cn/l/cfGKZ4IwTp5T" TargetMode="External"/><Relationship Id="rId7" Type="http://schemas.openxmlformats.org/officeDocument/2006/relationships/hyperlink" Target="https://www.kdocs.cn/l/cleN6bPSRpVA" TargetMode="External"/><Relationship Id="rId6" Type="http://schemas.openxmlformats.org/officeDocument/2006/relationships/hyperlink" Target="https://www.kdocs.cn/l/coWyo0yk7GRO" TargetMode="External"/><Relationship Id="rId5" Type="http://schemas.openxmlformats.org/officeDocument/2006/relationships/hyperlink" Target="https://www.kdocs.cn/l/ctHtgG2i62yY" TargetMode="External"/><Relationship Id="rId4" Type="http://schemas.openxmlformats.org/officeDocument/2006/relationships/hyperlink" Target="https://www.kdocs.cn/l/clENfbZENu5K" TargetMode="External"/><Relationship Id="rId3" Type="http://schemas.openxmlformats.org/officeDocument/2006/relationships/hyperlink" Target="https://www.kdocs.cn/l/ctr44nUDyiPX" TargetMode="External"/><Relationship Id="rId28" Type="http://schemas.openxmlformats.org/officeDocument/2006/relationships/hyperlink" Target="https://www.kdocs.cn/l/chReDu0ehSK6" TargetMode="External"/><Relationship Id="rId27" Type="http://schemas.openxmlformats.org/officeDocument/2006/relationships/hyperlink" Target="https://www.kdocs.cn/l/crLXd0wKCZoK" TargetMode="External"/><Relationship Id="rId26" Type="http://schemas.openxmlformats.org/officeDocument/2006/relationships/hyperlink" Target="https://www.kdocs.cn/l/ceTZoyOHPmnV" TargetMode="External"/><Relationship Id="rId25" Type="http://schemas.openxmlformats.org/officeDocument/2006/relationships/hyperlink" Target="https://www.kdocs.cn/l/clPWwpT2SWnh" TargetMode="External"/><Relationship Id="rId24" Type="http://schemas.openxmlformats.org/officeDocument/2006/relationships/hyperlink" Target="https://www.kdocs.cn/l/cf4pquzBGIat" TargetMode="External"/><Relationship Id="rId23" Type="http://schemas.openxmlformats.org/officeDocument/2006/relationships/hyperlink" Target="https://www.kdocs.cn/l/cohFCGzHle4e" TargetMode="External"/><Relationship Id="rId22" Type="http://schemas.openxmlformats.org/officeDocument/2006/relationships/hyperlink" Target="https://www.kdocs.cn/l/cdDcTLjfPnkH" TargetMode="External"/><Relationship Id="rId21" Type="http://schemas.openxmlformats.org/officeDocument/2006/relationships/hyperlink" Target="https://www.kdocs.cn/l/crqgESPxO6KH" TargetMode="External"/><Relationship Id="rId20" Type="http://schemas.openxmlformats.org/officeDocument/2006/relationships/hyperlink" Target="https://www.kdocs.cn/l/clHA8FAA9GjO" TargetMode="External"/><Relationship Id="rId2" Type="http://schemas.openxmlformats.org/officeDocument/2006/relationships/hyperlink" Target="https://www.kdocs.cn/l/ckHXLfJmZkk0" TargetMode="External"/><Relationship Id="rId19" Type="http://schemas.openxmlformats.org/officeDocument/2006/relationships/hyperlink" Target="https://www.kdocs.cn/l/cmwDOK8Hg7IF" TargetMode="External"/><Relationship Id="rId18" Type="http://schemas.openxmlformats.org/officeDocument/2006/relationships/hyperlink" Target="https://www.kdocs.cn/l/cbtPFAUAoPRh" TargetMode="External"/><Relationship Id="rId17" Type="http://schemas.openxmlformats.org/officeDocument/2006/relationships/hyperlink" Target="https://www.kdocs.cn/l/csxgv2unm6jQ" TargetMode="External"/><Relationship Id="rId16" Type="http://schemas.openxmlformats.org/officeDocument/2006/relationships/hyperlink" Target="https://www.kdocs.cn/l/cdZVTcwTJXcb" TargetMode="External"/><Relationship Id="rId15" Type="http://schemas.openxmlformats.org/officeDocument/2006/relationships/hyperlink" Target="https://www.kdocs.cn/l/cielFwZIXsMS" TargetMode="External"/><Relationship Id="rId14" Type="http://schemas.openxmlformats.org/officeDocument/2006/relationships/hyperlink" Target="https://www.kdocs.cn/l/cmabS10DDtSQ" TargetMode="External"/><Relationship Id="rId13" Type="http://schemas.openxmlformats.org/officeDocument/2006/relationships/hyperlink" Target="https://www.kdocs.cn/l/caw8a1cuUbhx" TargetMode="External"/><Relationship Id="rId12" Type="http://schemas.openxmlformats.org/officeDocument/2006/relationships/hyperlink" Target="https://www.kdocs.cn/l/ctJDmeJmZzKe" TargetMode="External"/><Relationship Id="rId11" Type="http://schemas.openxmlformats.org/officeDocument/2006/relationships/hyperlink" Target="https://www.kdocs.cn/l/cvOrvhTNSRUj" TargetMode="External"/><Relationship Id="rId10" Type="http://schemas.openxmlformats.org/officeDocument/2006/relationships/hyperlink" Target="https://www.kdocs.cn/l/cspnCLvstRc6" TargetMode="External"/><Relationship Id="rId1" Type="http://schemas.openxmlformats.org/officeDocument/2006/relationships/hyperlink" Target="https://www.kdocs.cn/l/cgjzKjQht6iD" TargetMode="Externa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docs.cn/l/ci1yluoP4vAz" TargetMode="External"/><Relationship Id="rId8" Type="http://schemas.openxmlformats.org/officeDocument/2006/relationships/hyperlink" Target="https://www.kdocs.cn/l/cjf5ZSiCSL7C" TargetMode="External"/><Relationship Id="rId7" Type="http://schemas.openxmlformats.org/officeDocument/2006/relationships/hyperlink" Target="https://www.kdocs.cn/l/cvqRkhzGgssK" TargetMode="External"/><Relationship Id="rId6" Type="http://schemas.openxmlformats.org/officeDocument/2006/relationships/hyperlink" Target="https://www.kdocs.cn/l/ccySSkHxqrGV" TargetMode="External"/><Relationship Id="rId5" Type="http://schemas.openxmlformats.org/officeDocument/2006/relationships/hyperlink" Target="https://www.kdocs.cn/l/ccIQf0GziZzm" TargetMode="External"/><Relationship Id="rId4" Type="http://schemas.openxmlformats.org/officeDocument/2006/relationships/hyperlink" Target="https://www.kdocs.cn/l/cqRzOapKdD54" TargetMode="External"/><Relationship Id="rId3" Type="http://schemas.openxmlformats.org/officeDocument/2006/relationships/hyperlink" Target="https://www.kdocs.cn/l/cfV4or0Y1Ohm" TargetMode="External"/><Relationship Id="rId2" Type="http://schemas.openxmlformats.org/officeDocument/2006/relationships/hyperlink" Target="https://www.kdocs.cn/l/cjAmkBj9tVdR" TargetMode="External"/><Relationship Id="rId14" Type="http://schemas.openxmlformats.org/officeDocument/2006/relationships/hyperlink" Target="https://www.kdocs.cn/l/cuGO5xCcUbTN" TargetMode="External"/><Relationship Id="rId13" Type="http://schemas.openxmlformats.org/officeDocument/2006/relationships/hyperlink" Target="https://www.kdocs.cn/l/ct0tei9n8w3V" TargetMode="External"/><Relationship Id="rId12" Type="http://schemas.openxmlformats.org/officeDocument/2006/relationships/hyperlink" Target="https://www.kdocs.cn/l/cex4gH9XMX0d" TargetMode="External"/><Relationship Id="rId11" Type="http://schemas.openxmlformats.org/officeDocument/2006/relationships/hyperlink" Target="https://www.kdocs.cn/l/cdPPJrvJ7uVO" TargetMode="External"/><Relationship Id="rId10" Type="http://schemas.openxmlformats.org/officeDocument/2006/relationships/hyperlink" Target="https://www.kdocs.cn/l/ctF39tQ9PuyN" TargetMode="External"/><Relationship Id="rId1" Type="http://schemas.openxmlformats.org/officeDocument/2006/relationships/hyperlink" Target="https://www.kdocs.cn/l/chm1zzJfRb4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C63"/>
  <sheetViews>
    <sheetView zoomScale="85" zoomScaleNormal="85" topLeftCell="A24" workbookViewId="0">
      <selection activeCell="C40" sqref="C40"/>
    </sheetView>
  </sheetViews>
  <sheetFormatPr defaultColWidth="8.72727272727273" defaultRowHeight="12.5"/>
  <cols>
    <col min="1" max="1" width="1.09090909090909" style="1544" customWidth="1"/>
    <col min="2" max="2" width="1.63636363636364" customWidth="1"/>
    <col min="3" max="3" width="43.1818181818182" customWidth="1"/>
    <col min="4" max="4" width="13.9090909090909" customWidth="1"/>
    <col min="5" max="5" width="11.9090909090909" customWidth="1"/>
    <col min="6" max="6" width="3.45454545454545" customWidth="1"/>
    <col min="7" max="7" width="0.818181818181818" style="1544" customWidth="1"/>
    <col min="8" max="8" width="2.63636363636364" customWidth="1"/>
    <col min="9" max="9" width="21.3636363636364" customWidth="1"/>
    <col min="10" max="10" width="12.8181818181818" customWidth="1"/>
    <col min="11" max="11" width="12" customWidth="1"/>
    <col min="12" max="12" width="12.6363636363636" style="465" customWidth="1"/>
    <col min="13" max="13" width="2.81818181818182" customWidth="1"/>
    <col min="14" max="14" width="12.8181818181818" customWidth="1"/>
    <col min="15" max="15" width="2.81818181818182" customWidth="1"/>
    <col min="16" max="16" width="6" customWidth="1"/>
    <col min="17" max="17" width="0.909090909090909" customWidth="1"/>
    <col min="18" max="18" width="2.27272727272727" customWidth="1"/>
    <col min="19" max="19" width="23.5454545454545" customWidth="1"/>
    <col min="20" max="20" width="12.4545454545455" customWidth="1"/>
    <col min="21" max="21" width="4.90909090909091" customWidth="1"/>
    <col min="22" max="22" width="11.8181818181818" customWidth="1"/>
    <col min="23" max="23" width="3.45454545454545" customWidth="1"/>
    <col min="24" max="24" width="11.8181818181818" customWidth="1"/>
    <col min="25" max="25" width="3.72727272727273" customWidth="1"/>
    <col min="26" max="26" width="5.72727272727273" customWidth="1"/>
    <col min="27" max="27" width="0.636363636363636" customWidth="1"/>
    <col min="28" max="28" width="2.45454545454545" customWidth="1"/>
    <col min="30" max="30" width="13.2727272727273" customWidth="1"/>
    <col min="32" max="32" width="11.8181818181818" customWidth="1"/>
    <col min="34" max="34" width="12.1818181818182" customWidth="1"/>
    <col min="35" max="35" width="4.36363636363636" customWidth="1"/>
    <col min="37" max="37" width="1.36363636363636" customWidth="1"/>
    <col min="38" max="38" width="0.363636363636364" customWidth="1"/>
    <col min="40" max="40" width="12.4545454545455" customWidth="1"/>
    <col min="42" max="42" width="11.1818181818182" customWidth="1"/>
    <col min="44" max="44" width="11.8181818181818" customWidth="1"/>
    <col min="45" max="45" width="4.27272727272727" customWidth="1"/>
    <col min="48" max="48" width="12" customWidth="1"/>
    <col min="50" max="50" width="10.1818181818182" customWidth="1"/>
    <col min="51" max="51" width="12" customWidth="1"/>
    <col min="52" max="52" width="11.4545454545455" customWidth="1"/>
  </cols>
  <sheetData>
    <row r="1" ht="13.25" customHeight="1" spans="2:54">
      <c r="B1" s="1544"/>
      <c r="C1" s="1544"/>
      <c r="D1" s="1544"/>
      <c r="E1" s="1544"/>
      <c r="F1" s="1544"/>
      <c r="H1" s="1544"/>
      <c r="I1" s="1544"/>
      <c r="J1" s="1544"/>
      <c r="K1" s="1544"/>
      <c r="L1" s="1545"/>
      <c r="M1" s="1544"/>
      <c r="N1" s="1544"/>
      <c r="O1" s="1544"/>
      <c r="P1" s="1544"/>
      <c r="Q1" s="1544"/>
      <c r="R1" s="1544"/>
      <c r="S1" s="1544"/>
      <c r="T1" s="1544"/>
      <c r="U1" s="1544"/>
      <c r="V1" s="1544"/>
      <c r="W1" s="1544"/>
      <c r="X1" s="1544"/>
      <c r="Y1" s="1544"/>
      <c r="Z1" s="1544"/>
      <c r="AA1" s="1544"/>
      <c r="AB1" s="1544"/>
      <c r="AC1" s="1544"/>
      <c r="AD1" s="1544"/>
      <c r="AE1" s="1544"/>
      <c r="AF1" s="1544"/>
      <c r="AG1" s="1544"/>
      <c r="AH1" s="1544"/>
      <c r="AI1" s="1544"/>
      <c r="AJ1" s="1544"/>
      <c r="AK1" s="1544"/>
      <c r="AL1" s="1544"/>
    </row>
    <row r="2" ht="15.5" customHeight="1" spans="2:54">
      <c r="B2" s="1546"/>
      <c r="C2" s="1547"/>
      <c r="D2" s="1547"/>
      <c r="E2" s="1547"/>
      <c r="F2" s="1548"/>
      <c r="H2" s="95"/>
      <c r="I2" s="1796" t="s">
        <v>0</v>
      </c>
      <c r="J2" s="1550"/>
      <c r="K2" s="1550"/>
      <c r="L2" s="1551"/>
      <c r="M2" s="1552"/>
      <c r="N2" s="1553"/>
      <c r="O2" s="1554"/>
      <c r="P2" s="1555"/>
      <c r="Q2" s="1556"/>
      <c r="R2" s="1557"/>
      <c r="S2" s="1797" t="str">
        <f>I2</f>
        <v>Speedy Pioneer LTD</v>
      </c>
      <c r="T2" s="1559"/>
      <c r="U2" s="1559"/>
      <c r="V2" s="1559"/>
      <c r="W2" s="1560"/>
      <c r="X2" s="1561"/>
      <c r="Y2" s="1562"/>
      <c r="Z2" s="1563"/>
      <c r="AA2" s="1564"/>
      <c r="AB2" s="1565"/>
      <c r="AC2" s="1798" t="str">
        <f>I2</f>
        <v>Speedy Pioneer LTD</v>
      </c>
      <c r="AD2" s="1567"/>
      <c r="AE2" s="1567"/>
      <c r="AF2" s="1567"/>
      <c r="AG2" s="1568"/>
      <c r="AH2" s="1569"/>
      <c r="AI2" s="1570"/>
      <c r="AJ2" s="1571"/>
      <c r="AK2" s="1572"/>
      <c r="AL2" s="1565"/>
      <c r="AM2" s="1799" t="str">
        <f>S2</f>
        <v>Speedy Pioneer LTD</v>
      </c>
      <c r="AN2" s="1574"/>
      <c r="AO2" s="1574"/>
      <c r="AP2" s="1574"/>
      <c r="AQ2" s="1575"/>
      <c r="AR2" s="1576"/>
      <c r="AS2" s="1577"/>
      <c r="AT2" s="1578"/>
      <c r="AU2" s="1799" t="str">
        <f>AM2</f>
        <v>Speedy Pioneer LTD</v>
      </c>
      <c r="AV2" s="1574"/>
      <c r="AW2" s="1574"/>
      <c r="AX2" s="1574"/>
      <c r="AY2" s="1575"/>
      <c r="AZ2" s="1576"/>
      <c r="BA2" s="1577"/>
      <c r="BB2" s="1578"/>
    </row>
    <row r="3" ht="15.5" customHeight="1" spans="2:54">
      <c r="B3" s="1579"/>
      <c r="C3" s="1580" t="s">
        <v>1</v>
      </c>
      <c r="D3" s="1581" t="s">
        <v>2</v>
      </c>
      <c r="E3" s="1582"/>
      <c r="F3" s="1583"/>
      <c r="H3" s="97"/>
      <c r="I3" s="1800" t="s">
        <v>3</v>
      </c>
      <c r="J3" s="1585"/>
      <c r="K3" s="1585"/>
      <c r="L3" s="1586"/>
      <c r="M3" s="1587"/>
      <c r="N3" s="1588"/>
      <c r="O3" s="945"/>
      <c r="P3" s="1589"/>
      <c r="Q3" s="1590"/>
      <c r="R3" s="1591"/>
      <c r="S3" s="1801" t="s">
        <v>4</v>
      </c>
      <c r="T3" s="1593"/>
      <c r="U3" s="1593"/>
      <c r="V3" s="1593"/>
      <c r="W3" s="1594"/>
      <c r="X3" s="1595"/>
      <c r="Y3" s="1596"/>
      <c r="Z3" s="1597"/>
      <c r="AA3" s="1598"/>
      <c r="AB3" s="1599"/>
      <c r="AC3" s="1802" t="s">
        <v>5</v>
      </c>
      <c r="AD3" s="1601"/>
      <c r="AE3" s="1601"/>
      <c r="AF3" s="1601"/>
      <c r="AG3" s="1602"/>
      <c r="AH3" s="1603"/>
      <c r="AI3" s="1604"/>
      <c r="AJ3" s="1605"/>
      <c r="AK3" s="1606"/>
      <c r="AL3" s="1599"/>
      <c r="AM3" s="1803" t="s">
        <v>6</v>
      </c>
      <c r="AN3" s="1608"/>
      <c r="AO3" s="1608"/>
      <c r="AP3" s="1608"/>
      <c r="AQ3" s="1609"/>
      <c r="AR3" s="1610"/>
      <c r="AS3" s="1611"/>
      <c r="AT3" s="1612"/>
      <c r="AU3" s="1803" t="s">
        <v>7</v>
      </c>
      <c r="AV3" s="1608"/>
      <c r="AW3" s="1608"/>
      <c r="AX3" s="1608"/>
      <c r="AY3" s="1609"/>
      <c r="AZ3" s="1610"/>
      <c r="BA3" s="1611"/>
      <c r="BB3" s="1612"/>
    </row>
    <row r="4" ht="14.5" customHeight="1" spans="2:54">
      <c r="B4" s="1579"/>
      <c r="C4" s="1613" t="s">
        <v>8</v>
      </c>
      <c r="D4" s="1582"/>
      <c r="E4" s="1582"/>
      <c r="F4" s="1583"/>
      <c r="H4" s="97"/>
      <c r="I4" s="1804" t="s">
        <v>9</v>
      </c>
      <c r="J4" s="1587"/>
      <c r="K4" s="1587"/>
      <c r="L4" s="1614"/>
      <c r="M4" s="1587"/>
      <c r="N4" s="1588"/>
      <c r="O4" s="945"/>
      <c r="P4" s="1589"/>
      <c r="Q4" s="1590"/>
      <c r="R4" s="1591"/>
      <c r="S4" s="1805" t="s">
        <v>10</v>
      </c>
      <c r="T4" s="1594"/>
      <c r="U4" s="1594"/>
      <c r="V4" s="1594"/>
      <c r="W4" s="1594"/>
      <c r="X4" s="1595"/>
      <c r="Y4" s="1596"/>
      <c r="Z4" s="1597"/>
      <c r="AA4" s="1598"/>
      <c r="AB4" s="1599"/>
      <c r="AC4" s="1806" t="s">
        <v>11</v>
      </c>
      <c r="AD4" s="1602"/>
      <c r="AE4" s="1602"/>
      <c r="AF4" s="1602"/>
      <c r="AG4" s="1602"/>
      <c r="AH4" s="1603"/>
      <c r="AI4" s="1604"/>
      <c r="AJ4" s="1605"/>
      <c r="AK4" s="1606"/>
      <c r="AL4" s="1599"/>
      <c r="AM4" s="1807" t="s">
        <v>12</v>
      </c>
      <c r="AN4" s="1616"/>
      <c r="AO4" s="1616"/>
      <c r="AP4" s="1616"/>
      <c r="AQ4" s="1609"/>
      <c r="AR4" s="1610"/>
      <c r="AS4" s="1611"/>
      <c r="AT4" s="1612"/>
      <c r="AU4" s="1807" t="s">
        <v>13</v>
      </c>
      <c r="AV4" s="1616"/>
      <c r="AW4" s="1616"/>
      <c r="AX4" s="1616"/>
      <c r="AY4" s="1609"/>
      <c r="AZ4" s="1610"/>
      <c r="BA4" s="1611"/>
      <c r="BB4" s="1612"/>
    </row>
    <row r="5" ht="14.5" customHeight="1" spans="2:54">
      <c r="B5" s="1579"/>
      <c r="C5" s="1613"/>
      <c r="D5" s="1582"/>
      <c r="E5" s="1582"/>
      <c r="F5" s="1583"/>
      <c r="H5" s="97"/>
      <c r="I5" s="945"/>
      <c r="J5" s="945"/>
      <c r="K5" s="945"/>
      <c r="L5" s="1589"/>
      <c r="M5" s="945"/>
      <c r="N5" s="1617"/>
      <c r="O5" s="945"/>
      <c r="P5" s="1589"/>
      <c r="Q5" s="1590"/>
      <c r="R5" s="1591"/>
      <c r="S5" s="1596"/>
      <c r="T5" s="1596"/>
      <c r="U5" s="1596"/>
      <c r="V5" s="1596"/>
      <c r="W5" s="1596"/>
      <c r="X5" s="1618"/>
      <c r="Y5" s="1596"/>
      <c r="Z5" s="1597"/>
      <c r="AA5" s="1598"/>
      <c r="AB5" s="1599"/>
      <c r="AC5" s="1604"/>
      <c r="AD5" s="1604"/>
      <c r="AE5" s="1604"/>
      <c r="AF5" s="1604"/>
      <c r="AG5" s="1604"/>
      <c r="AH5" s="1619"/>
      <c r="AI5" s="1604"/>
      <c r="AJ5" s="1605"/>
      <c r="AK5" s="1606"/>
      <c r="AL5" s="1599"/>
      <c r="AM5" s="1620"/>
      <c r="AN5" s="1611"/>
      <c r="AO5" s="1611"/>
      <c r="AP5" s="1611"/>
      <c r="AQ5" s="1621"/>
      <c r="AR5" s="1622"/>
      <c r="AS5" s="1611"/>
      <c r="AT5" s="1612"/>
      <c r="AU5" s="1620"/>
      <c r="AV5" s="1611"/>
      <c r="AW5" s="1611"/>
      <c r="AX5" s="1611"/>
      <c r="AY5" s="1621"/>
      <c r="AZ5" s="1622"/>
      <c r="BA5" s="1611"/>
      <c r="BB5" s="1612"/>
    </row>
    <row r="6" ht="14.5" customHeight="1" spans="2:54">
      <c r="B6" s="1579"/>
      <c r="C6" s="1623" t="str">
        <f ca="1">"STATENMENT OF FINANCIAL POSITION As at "&amp;TEXT(J6,"dd-mmm-yyyy")</f>
        <v>STATENMENT OF FINANCIAL POSITION As at 14-Oct-2026</v>
      </c>
      <c r="D6" s="1582"/>
      <c r="E6" s="1582"/>
      <c r="F6" s="1583"/>
      <c r="H6" s="97"/>
      <c r="I6" s="1808" t="s">
        <v>14</v>
      </c>
      <c r="J6" s="1625">
        <f ca="1">TODAY()</f>
        <v>46309</v>
      </c>
      <c r="K6" s="1585"/>
      <c r="L6" s="1586"/>
      <c r="M6" s="1585"/>
      <c r="N6" s="945"/>
      <c r="O6" s="1617"/>
      <c r="P6" s="1589"/>
      <c r="Q6" s="1590"/>
      <c r="R6" s="1591"/>
      <c r="S6" s="1809" t="s">
        <v>14</v>
      </c>
      <c r="T6" s="1627">
        <f ca="1">TODAY()</f>
        <v>46309</v>
      </c>
      <c r="U6" s="1593"/>
      <c r="V6" s="1593"/>
      <c r="W6" s="1593"/>
      <c r="X6" s="1596"/>
      <c r="Y6" s="1618"/>
      <c r="Z6" s="1597"/>
      <c r="AA6" s="1598"/>
      <c r="AB6" s="1599"/>
      <c r="AC6" s="1810" t="s">
        <v>14</v>
      </c>
      <c r="AD6" s="1629">
        <f ca="1">TODAY()</f>
        <v>46309</v>
      </c>
      <c r="AE6" s="1601"/>
      <c r="AF6" s="1601"/>
      <c r="AG6" s="1601"/>
      <c r="AH6" s="1604"/>
      <c r="AI6" s="1619"/>
      <c r="AJ6" s="1605"/>
      <c r="AK6" s="1606"/>
      <c r="AL6" s="1599"/>
      <c r="AM6" s="1811" t="s">
        <v>14</v>
      </c>
      <c r="AN6" s="1631">
        <f ca="1">J6</f>
        <v>46309</v>
      </c>
      <c r="AO6" s="1608"/>
      <c r="AP6" s="1608"/>
      <c r="AQ6" s="1632"/>
      <c r="AR6" s="1611"/>
      <c r="AS6" s="1622"/>
      <c r="AT6" s="1612"/>
      <c r="AU6" s="1811" t="s">
        <v>14</v>
      </c>
      <c r="AV6" s="1631">
        <f>R6</f>
        <v>0</v>
      </c>
      <c r="AW6" s="1608"/>
      <c r="AX6" s="1608"/>
      <c r="AY6" s="1632"/>
      <c r="AZ6" s="1611"/>
      <c r="BA6" s="1622"/>
      <c r="BB6" s="1612"/>
    </row>
    <row r="7" ht="14.5" customHeight="1" spans="2:54">
      <c r="B7" s="1579"/>
      <c r="C7" s="1582"/>
      <c r="D7" s="1582"/>
      <c r="E7" s="1633" t="s">
        <v>15</v>
      </c>
      <c r="F7" s="1583"/>
      <c r="H7" s="97"/>
      <c r="I7" s="945"/>
      <c r="J7" s="945"/>
      <c r="K7" s="945"/>
      <c r="L7" s="1589"/>
      <c r="M7" s="945"/>
      <c r="N7" s="1634"/>
      <c r="O7" s="945"/>
      <c r="P7" s="1589"/>
      <c r="Q7" s="1590"/>
      <c r="R7" s="1591"/>
      <c r="S7" s="1596"/>
      <c r="T7" s="1596"/>
      <c r="U7" s="1596"/>
      <c r="V7" s="1596"/>
      <c r="W7" s="1596"/>
      <c r="X7" s="1635"/>
      <c r="Y7" s="1596"/>
      <c r="Z7" s="1597"/>
      <c r="AA7" s="1598"/>
      <c r="AB7" s="1599"/>
      <c r="AC7" s="1604"/>
      <c r="AD7" s="1604"/>
      <c r="AE7" s="1604"/>
      <c r="AF7" s="1604"/>
      <c r="AG7" s="1604"/>
      <c r="AH7" s="1636"/>
      <c r="AI7" s="1604"/>
      <c r="AJ7" s="1605"/>
      <c r="AK7" s="1606"/>
      <c r="AL7" s="1599"/>
      <c r="AM7" s="1620"/>
      <c r="AN7" s="1611"/>
      <c r="AO7" s="1611"/>
      <c r="AP7" s="1611"/>
      <c r="AQ7" s="1621"/>
      <c r="AR7" s="1637"/>
      <c r="AS7" s="1611"/>
      <c r="AT7" s="1612"/>
      <c r="AU7" s="1620"/>
      <c r="AV7" s="1611"/>
      <c r="AW7" s="1611"/>
      <c r="AX7" s="1611"/>
      <c r="AY7" s="1621"/>
      <c r="AZ7" s="1637"/>
      <c r="BA7" s="1611"/>
      <c r="BB7" s="1612"/>
    </row>
    <row r="8" ht="13" customHeight="1" spans="2:54">
      <c r="B8" s="1579"/>
      <c r="C8" s="1582"/>
      <c r="D8" s="1582"/>
      <c r="E8" s="1638">
        <f ca="1">TODAY()</f>
        <v>46309</v>
      </c>
      <c r="F8" s="1583"/>
      <c r="H8" s="97"/>
      <c r="I8" s="945"/>
      <c r="J8" s="945"/>
      <c r="K8" s="945"/>
      <c r="L8" s="1589"/>
      <c r="M8" s="945"/>
      <c r="N8" s="1639" t="s">
        <v>16</v>
      </c>
      <c r="O8" s="945"/>
      <c r="P8" s="1640" t="s">
        <v>17</v>
      </c>
      <c r="Q8" s="1590"/>
      <c r="R8" s="1591"/>
      <c r="S8" s="1596"/>
      <c r="T8" s="1596"/>
      <c r="U8" s="1596"/>
      <c r="V8" s="1596"/>
      <c r="W8" s="1596"/>
      <c r="X8" s="1641" t="s">
        <v>16</v>
      </c>
      <c r="Y8" s="1596"/>
      <c r="Z8" s="1642" t="s">
        <v>17</v>
      </c>
      <c r="AA8" s="1598"/>
      <c r="AB8" s="1599"/>
      <c r="AC8" s="1604"/>
      <c r="AD8" s="1604"/>
      <c r="AE8" s="1604"/>
      <c r="AF8" s="1604"/>
      <c r="AG8" s="1604"/>
      <c r="AH8" s="1643" t="s">
        <v>16</v>
      </c>
      <c r="AI8" s="1604"/>
      <c r="AJ8" s="1644" t="s">
        <v>17</v>
      </c>
      <c r="AK8" s="1606"/>
      <c r="AL8" s="1599"/>
      <c r="AM8" s="1620"/>
      <c r="AN8" s="1611"/>
      <c r="AO8" s="1611"/>
      <c r="AP8" s="1611"/>
      <c r="AQ8" s="1621"/>
      <c r="AR8" s="1645" t="s">
        <v>16</v>
      </c>
      <c r="AS8" s="1611"/>
      <c r="AT8" s="1646" t="s">
        <v>17</v>
      </c>
      <c r="AU8" s="1620"/>
      <c r="AV8" s="1611"/>
      <c r="AW8" s="1611"/>
      <c r="AX8" s="1611"/>
      <c r="AY8" s="1621"/>
      <c r="AZ8" s="1645" t="s">
        <v>16</v>
      </c>
      <c r="BA8" s="1611"/>
      <c r="BB8" s="1646" t="s">
        <v>17</v>
      </c>
    </row>
    <row r="9" ht="13" customHeight="1" spans="2:54">
      <c r="B9" s="1579"/>
      <c r="C9" s="1582"/>
      <c r="D9" s="1633" t="s">
        <v>18</v>
      </c>
      <c r="E9" s="1633" t="s">
        <v>19</v>
      </c>
      <c r="F9" s="1583"/>
      <c r="H9" s="97"/>
      <c r="I9" s="1647" t="s">
        <v>20</v>
      </c>
      <c r="J9" s="1648"/>
      <c r="K9" s="1648"/>
      <c r="L9" s="1649"/>
      <c r="M9" s="1648"/>
      <c r="N9" s="1588"/>
      <c r="O9" s="945"/>
      <c r="P9" s="1589"/>
      <c r="Q9" s="1590"/>
      <c r="R9" s="1591"/>
      <c r="S9" s="1650" t="s">
        <v>20</v>
      </c>
      <c r="T9" s="1651"/>
      <c r="U9" s="1651"/>
      <c r="V9" s="1651"/>
      <c r="W9" s="1651"/>
      <c r="X9" s="1595"/>
      <c r="Y9" s="1596"/>
      <c r="Z9" s="1597"/>
      <c r="AA9" s="1598"/>
      <c r="AB9" s="1599"/>
      <c r="AC9" s="1652" t="s">
        <v>20</v>
      </c>
      <c r="AD9" s="1653"/>
      <c r="AE9" s="1653"/>
      <c r="AF9" s="1653"/>
      <c r="AG9" s="1653"/>
      <c r="AH9" s="1603"/>
      <c r="AI9" s="1604"/>
      <c r="AJ9" s="1605"/>
      <c r="AK9" s="1606"/>
      <c r="AL9" s="1599"/>
      <c r="AM9" s="1654" t="s">
        <v>20</v>
      </c>
      <c r="AN9" s="1655"/>
      <c r="AO9" s="1655"/>
      <c r="AP9" s="1655"/>
      <c r="AQ9" s="1656"/>
      <c r="AR9" s="1610"/>
      <c r="AS9" s="1611"/>
      <c r="AT9" s="1612"/>
      <c r="AU9" s="1654" t="s">
        <v>20</v>
      </c>
      <c r="AV9" s="1655"/>
      <c r="AW9" s="1655"/>
      <c r="AX9" s="1655"/>
      <c r="AY9" s="1656"/>
      <c r="AZ9" s="1610"/>
      <c r="BA9" s="1611"/>
      <c r="BB9" s="1612"/>
    </row>
    <row r="10" ht="13" customHeight="1" spans="2:54">
      <c r="B10" s="1579"/>
      <c r="C10" s="1657" t="s">
        <v>21</v>
      </c>
      <c r="D10" s="1582"/>
      <c r="E10" s="1582"/>
      <c r="F10" s="1583"/>
      <c r="H10" s="97"/>
      <c r="I10" s="945"/>
      <c r="J10" s="945"/>
      <c r="K10" s="945"/>
      <c r="L10" s="1589"/>
      <c r="M10" s="945"/>
      <c r="N10" s="1588"/>
      <c r="O10" s="945"/>
      <c r="P10" s="1589"/>
      <c r="Q10" s="1590"/>
      <c r="R10" s="1591"/>
      <c r="S10" s="1596"/>
      <c r="T10" s="1596"/>
      <c r="U10" s="1596"/>
      <c r="V10" s="1596"/>
      <c r="W10" s="1596"/>
      <c r="X10" s="1595"/>
      <c r="Y10" s="1596"/>
      <c r="Z10" s="1597"/>
      <c r="AA10" s="1598"/>
      <c r="AB10" s="1599"/>
      <c r="AC10" s="1604"/>
      <c r="AD10" s="1604"/>
      <c r="AE10" s="1604"/>
      <c r="AF10" s="1604"/>
      <c r="AG10" s="1604"/>
      <c r="AH10" s="1603"/>
      <c r="AI10" s="1604"/>
      <c r="AJ10" s="1605"/>
      <c r="AK10" s="1606"/>
      <c r="AL10" s="1599"/>
      <c r="AM10" s="1620"/>
      <c r="AN10" s="1611"/>
      <c r="AO10" s="1611"/>
      <c r="AP10" s="1611"/>
      <c r="AQ10" s="1621"/>
      <c r="AR10" s="1610"/>
      <c r="AS10" s="1611"/>
      <c r="AT10" s="1612"/>
      <c r="AU10" s="1620"/>
      <c r="AV10" s="1611"/>
      <c r="AW10" s="1611"/>
      <c r="AX10" s="1611"/>
      <c r="AY10" s="1621"/>
      <c r="AZ10" s="1610"/>
      <c r="BA10" s="1611"/>
      <c r="BB10" s="1612"/>
    </row>
    <row r="11" ht="14.5" customHeight="1" spans="2:54">
      <c r="B11" s="1579"/>
      <c r="C11" s="1582" t="s">
        <v>22</v>
      </c>
      <c r="D11" s="1658">
        <v>6</v>
      </c>
      <c r="E11" s="1659">
        <f>N17+X17+AH17+AR17+AZ17</f>
        <v>371554.52</v>
      </c>
      <c r="F11" s="1583"/>
      <c r="H11" s="97"/>
      <c r="I11" s="1660" t="s">
        <v>23</v>
      </c>
      <c r="J11" s="945"/>
      <c r="K11" s="945"/>
      <c r="L11" s="1589"/>
      <c r="M11" s="945"/>
      <c r="N11" s="1661">
        <f>L12+L13</f>
        <v>0</v>
      </c>
      <c r="O11" s="945"/>
      <c r="P11" s="1589">
        <v>1</v>
      </c>
      <c r="Q11" s="1590"/>
      <c r="R11" s="1591"/>
      <c r="S11" s="1662" t="s">
        <v>23</v>
      </c>
      <c r="T11" s="1596"/>
      <c r="U11" s="1596"/>
      <c r="V11" s="1663">
        <f>V12+V13</f>
        <v>16371.04</v>
      </c>
      <c r="W11" s="1596"/>
      <c r="X11" s="1664">
        <f>V11+V14+V15</f>
        <v>16371.04</v>
      </c>
      <c r="Y11" s="1596"/>
      <c r="Z11" s="1597">
        <v>1</v>
      </c>
      <c r="AA11" s="1598"/>
      <c r="AB11" s="1599"/>
      <c r="AC11" s="1665" t="s">
        <v>23</v>
      </c>
      <c r="AD11" s="1604"/>
      <c r="AE11" s="1604"/>
      <c r="AF11" s="1666">
        <f>AF12+AF13</f>
        <v>12228.09</v>
      </c>
      <c r="AG11" s="1604"/>
      <c r="AH11" s="1667">
        <f>AF11+AF14+AF15</f>
        <v>12228.09</v>
      </c>
      <c r="AI11" s="1604"/>
      <c r="AJ11" s="1605">
        <v>1</v>
      </c>
      <c r="AK11" s="1606"/>
      <c r="AL11" s="1599"/>
      <c r="AM11" s="1668" t="s">
        <v>23</v>
      </c>
      <c r="AN11" s="1611"/>
      <c r="AO11" s="1611"/>
      <c r="AP11" s="1669"/>
      <c r="AQ11" s="1621">
        <f>SUM(AQ12:AQ13)</f>
        <v>0</v>
      </c>
      <c r="AR11" s="1670">
        <f>AQ11+AQ14+AQ15</f>
        <v>0</v>
      </c>
      <c r="AS11" s="1611"/>
      <c r="AT11" s="1612">
        <v>1</v>
      </c>
      <c r="AU11" s="1668" t="s">
        <v>23</v>
      </c>
      <c r="AV11" s="1611"/>
      <c r="AW11" s="1611"/>
      <c r="AX11" s="1669"/>
      <c r="AY11" s="1621">
        <f>SUM(AY12:AY13)</f>
        <v>24996.94</v>
      </c>
      <c r="AZ11" s="1670">
        <f>AY11+AY14+AY15</f>
        <v>24996.94</v>
      </c>
      <c r="BA11" s="1611"/>
      <c r="BB11" s="1612">
        <v>1</v>
      </c>
    </row>
    <row r="12" ht="14.5" customHeight="1" spans="2:54">
      <c r="B12" s="1579"/>
      <c r="C12" s="1582"/>
      <c r="D12" s="1582"/>
      <c r="E12" s="1671"/>
      <c r="F12" s="1583"/>
      <c r="H12" s="97"/>
      <c r="I12" s="1672" t="s">
        <v>24</v>
      </c>
      <c r="J12" s="945"/>
      <c r="K12" s="945"/>
      <c r="L12" s="1673"/>
      <c r="M12" s="945"/>
      <c r="N12" s="1661"/>
      <c r="O12" s="945"/>
      <c r="P12" s="1589"/>
      <c r="Q12" s="1590"/>
      <c r="R12" s="1591"/>
      <c r="S12" s="1674" t="s">
        <v>25</v>
      </c>
      <c r="T12" s="1596"/>
      <c r="U12" s="1596"/>
      <c r="V12" s="1595">
        <v>0</v>
      </c>
      <c r="W12" s="1596"/>
      <c r="X12" s="1664"/>
      <c r="Y12" s="1596"/>
      <c r="Z12" s="1597"/>
      <c r="AA12" s="1598"/>
      <c r="AB12" s="1599"/>
      <c r="AC12" s="1675" t="s">
        <v>26</v>
      </c>
      <c r="AD12" s="1604"/>
      <c r="AE12" s="1604"/>
      <c r="AF12" s="1603"/>
      <c r="AG12" s="1604"/>
      <c r="AH12" s="1667"/>
      <c r="AI12" s="1604"/>
      <c r="AJ12" s="1605"/>
      <c r="AK12" s="1606"/>
      <c r="AL12" s="1599"/>
      <c r="AM12" s="1676" t="s">
        <v>27</v>
      </c>
      <c r="AN12" s="1611"/>
      <c r="AO12" s="1611"/>
      <c r="AP12" s="1610"/>
      <c r="AQ12" s="1621"/>
      <c r="AR12" s="1670"/>
      <c r="AS12" s="1611"/>
      <c r="AT12" s="1612"/>
      <c r="AU12" s="1676" t="s">
        <v>28</v>
      </c>
      <c r="AV12" s="1611"/>
      <c r="AW12" s="1611"/>
      <c r="AX12" s="1610"/>
      <c r="AY12" s="1621"/>
      <c r="AZ12" s="1670"/>
      <c r="BA12" s="1611"/>
      <c r="BB12" s="1612"/>
    </row>
    <row r="13" ht="15.25" customHeight="1" spans="2:54">
      <c r="B13" s="1579"/>
      <c r="C13" s="1582"/>
      <c r="D13" s="1582"/>
      <c r="E13" s="1677">
        <f>SUM(E11:E12)</f>
        <v>371554.52</v>
      </c>
      <c r="F13" s="1583"/>
      <c r="H13" s="97"/>
      <c r="I13" s="1672" t="s">
        <v>29</v>
      </c>
      <c r="J13" s="945"/>
      <c r="K13" s="945"/>
      <c r="L13" s="1673">
        <f>SUM('Shipmanagement RCVD'!K13:K15)</f>
        <v>0</v>
      </c>
      <c r="M13" s="945"/>
      <c r="N13" s="1661"/>
      <c r="O13" s="945"/>
      <c r="P13" s="1589"/>
      <c r="Q13" s="1590"/>
      <c r="R13" s="1591"/>
      <c r="S13" s="1674" t="s">
        <v>29</v>
      </c>
      <c r="T13" s="1596"/>
      <c r="U13" s="1596"/>
      <c r="V13" s="1664">
        <f>'Shipmanagement RCVD'!L2</f>
        <v>16371.04</v>
      </c>
      <c r="W13" s="1596"/>
      <c r="X13" s="1664"/>
      <c r="Y13" s="1596"/>
      <c r="Z13" s="1597"/>
      <c r="AA13" s="1598"/>
      <c r="AB13" s="1599"/>
      <c r="AC13" s="1675" t="s">
        <v>29</v>
      </c>
      <c r="AD13" s="1604"/>
      <c r="AE13" s="1604"/>
      <c r="AF13" s="1667">
        <f>'Shipmanagement RCVD'!J2</f>
        <v>12228.09</v>
      </c>
      <c r="AG13" s="1604"/>
      <c r="AH13" s="1667"/>
      <c r="AI13" s="1604"/>
      <c r="AJ13" s="1605"/>
      <c r="AK13" s="1606"/>
      <c r="AL13" s="1599"/>
      <c r="AM13" s="1676" t="s">
        <v>29</v>
      </c>
      <c r="AN13" s="1611"/>
      <c r="AO13" s="1611"/>
      <c r="AP13" s="1670"/>
      <c r="AQ13" s="1621"/>
      <c r="AR13" s="1670"/>
      <c r="AS13" s="1611"/>
      <c r="AT13" s="1612"/>
      <c r="AU13" s="1676" t="s">
        <v>29</v>
      </c>
      <c r="AV13" s="1611"/>
      <c r="AW13" s="1611"/>
      <c r="AX13" s="1670"/>
      <c r="AY13" s="1678">
        <f>'Shipmanagement RCVD'!K2</f>
        <v>24996.94</v>
      </c>
      <c r="AZ13" s="1670"/>
      <c r="BA13" s="1611"/>
      <c r="BB13" s="1612"/>
    </row>
    <row r="14" ht="15.25" customHeight="1" spans="2:54">
      <c r="B14" s="1579"/>
      <c r="C14" s="1657" t="s">
        <v>30</v>
      </c>
      <c r="D14" s="1582"/>
      <c r="E14" s="1582"/>
      <c r="F14" s="1583"/>
      <c r="H14" s="97"/>
      <c r="I14" s="1672" t="s">
        <v>31</v>
      </c>
      <c r="J14" s="1679"/>
      <c r="K14" s="1679"/>
      <c r="L14" s="1680">
        <f>'Shipmanagement RCVD'!I2</f>
        <v>317958.45</v>
      </c>
      <c r="M14" s="1679"/>
      <c r="N14" s="1681">
        <f>L14</f>
        <v>317958.45</v>
      </c>
      <c r="O14" s="945"/>
      <c r="P14" s="1589">
        <v>1</v>
      </c>
      <c r="Q14" s="1590"/>
      <c r="R14" s="1591"/>
      <c r="S14" s="1674" t="s">
        <v>31</v>
      </c>
      <c r="T14" s="1682"/>
      <c r="U14" s="1682"/>
      <c r="V14" s="1664"/>
      <c r="W14" s="1682"/>
      <c r="X14" s="1664"/>
      <c r="Y14" s="1596"/>
      <c r="Z14" s="1597">
        <v>1</v>
      </c>
      <c r="AA14" s="1598"/>
      <c r="AB14" s="1599"/>
      <c r="AC14" s="1675" t="s">
        <v>31</v>
      </c>
      <c r="AD14" s="1683"/>
      <c r="AE14" s="1683"/>
      <c r="AF14" s="1667"/>
      <c r="AG14" s="1683"/>
      <c r="AH14" s="1667"/>
      <c r="AI14" s="1604"/>
      <c r="AJ14" s="1605">
        <v>1</v>
      </c>
      <c r="AK14" s="1606"/>
      <c r="AL14" s="1599"/>
      <c r="AM14" s="1676" t="s">
        <v>31</v>
      </c>
      <c r="AN14" s="1684"/>
      <c r="AO14" s="1684"/>
      <c r="AP14" s="1670">
        <v>0</v>
      </c>
      <c r="AQ14" s="1621">
        <v>0</v>
      </c>
      <c r="AR14" s="1670"/>
      <c r="AS14" s="1611"/>
      <c r="AT14" s="1612">
        <v>1</v>
      </c>
      <c r="AU14" s="1676" t="s">
        <v>31</v>
      </c>
      <c r="AV14" s="1684"/>
      <c r="AW14" s="1684"/>
      <c r="AX14" s="1670">
        <v>0</v>
      </c>
      <c r="AY14" s="1621">
        <v>0</v>
      </c>
      <c r="AZ14" s="1670"/>
      <c r="BA14" s="1611"/>
      <c r="BB14" s="1612">
        <v>1</v>
      </c>
    </row>
    <row r="15" ht="14.5" customHeight="1" spans="2:54">
      <c r="B15" s="1579"/>
      <c r="C15" s="1582" t="s">
        <v>32</v>
      </c>
      <c r="D15" s="1582"/>
      <c r="E15" s="1685">
        <f>N26+X26+AH26+AR26+AZ26</f>
        <v>398259.751018376</v>
      </c>
      <c r="F15" s="1583"/>
      <c r="H15" s="97"/>
      <c r="I15" s="1660" t="s">
        <v>33</v>
      </c>
      <c r="J15" s="945"/>
      <c r="K15" s="945"/>
      <c r="L15" s="1686"/>
      <c r="M15" s="945"/>
      <c r="N15" s="1588">
        <f>L15</f>
        <v>0</v>
      </c>
      <c r="O15" s="945"/>
      <c r="P15" s="1589"/>
      <c r="Q15" s="1590"/>
      <c r="R15" s="1591"/>
      <c r="S15" s="1662" t="s">
        <v>33</v>
      </c>
      <c r="T15" s="1596"/>
      <c r="U15" s="1596"/>
      <c r="V15" s="1595"/>
      <c r="W15" s="1596"/>
      <c r="X15" s="1595"/>
      <c r="Y15" s="1596"/>
      <c r="Z15" s="1597"/>
      <c r="AA15" s="1598"/>
      <c r="AB15" s="1599"/>
      <c r="AC15" s="1665" t="s">
        <v>33</v>
      </c>
      <c r="AD15" s="1604"/>
      <c r="AE15" s="1604"/>
      <c r="AF15" s="1603"/>
      <c r="AG15" s="1604"/>
      <c r="AH15" s="1603"/>
      <c r="AI15" s="1604"/>
      <c r="AJ15" s="1605"/>
      <c r="AK15" s="1606"/>
      <c r="AL15" s="1599"/>
      <c r="AM15" s="1668" t="s">
        <v>33</v>
      </c>
      <c r="AN15" s="1611"/>
      <c r="AO15" s="1611"/>
      <c r="AP15" s="1610"/>
      <c r="AQ15" s="1621">
        <v>0</v>
      </c>
      <c r="AR15" s="1610"/>
      <c r="AS15" s="1611"/>
      <c r="AT15" s="1612"/>
      <c r="AU15" s="1668" t="s">
        <v>33</v>
      </c>
      <c r="AV15" s="1611"/>
      <c r="AW15" s="1611"/>
      <c r="AX15" s="1610"/>
      <c r="AY15" s="1621">
        <v>0</v>
      </c>
      <c r="AZ15" s="1610"/>
      <c r="BA15" s="1611"/>
      <c r="BB15" s="1612"/>
    </row>
    <row r="16" ht="15.25" customHeight="1" spans="2:54">
      <c r="B16" s="1579"/>
      <c r="C16" s="1582" t="s">
        <v>34</v>
      </c>
      <c r="D16" s="1687"/>
      <c r="E16" s="1688">
        <f>N26+X26+AH26+AR26+AZ26</f>
        <v>398259.751018376</v>
      </c>
      <c r="F16" s="1583"/>
      <c r="H16" s="97"/>
      <c r="I16" s="1660"/>
      <c r="J16" s="945"/>
      <c r="K16" s="945"/>
      <c r="L16" s="1589"/>
      <c r="M16" s="945"/>
      <c r="N16" s="1661"/>
      <c r="O16" s="945"/>
      <c r="P16" s="1589"/>
      <c r="Q16" s="1590"/>
      <c r="R16" s="1591"/>
      <c r="S16" s="1662"/>
      <c r="T16" s="1596"/>
      <c r="U16" s="1596"/>
      <c r="V16" s="1596"/>
      <c r="W16" s="1596"/>
      <c r="X16" s="1664"/>
      <c r="Y16" s="1596"/>
      <c r="Z16" s="1597"/>
      <c r="AA16" s="1598"/>
      <c r="AB16" s="1599"/>
      <c r="AC16" s="1665"/>
      <c r="AD16" s="1604"/>
      <c r="AE16" s="1604"/>
      <c r="AF16" s="1604"/>
      <c r="AG16" s="1604"/>
      <c r="AH16" s="1667"/>
      <c r="AI16" s="1604"/>
      <c r="AJ16" s="1605"/>
      <c r="AK16" s="1606"/>
      <c r="AL16" s="1599"/>
      <c r="AM16" s="1668"/>
      <c r="AN16" s="1611"/>
      <c r="AO16" s="1611"/>
      <c r="AP16" s="1611"/>
      <c r="AQ16" s="1611"/>
      <c r="AR16" s="1670"/>
      <c r="AS16" s="1611"/>
      <c r="AT16" s="1612"/>
      <c r="AU16" s="1668"/>
      <c r="AV16" s="1611"/>
      <c r="AW16" s="1611"/>
      <c r="AX16" s="1611"/>
      <c r="AY16" s="1611"/>
      <c r="AZ16" s="1670"/>
      <c r="BA16" s="1611"/>
      <c r="BB16" s="1612"/>
    </row>
    <row r="17" ht="13.75" customHeight="1" spans="2:55">
      <c r="B17" s="1579"/>
      <c r="C17" s="1582"/>
      <c r="D17" s="1582"/>
      <c r="E17" s="1689"/>
      <c r="F17" s="1583"/>
      <c r="H17" s="97"/>
      <c r="I17" s="945"/>
      <c r="J17" s="945"/>
      <c r="K17" s="945"/>
      <c r="L17" s="1589"/>
      <c r="M17" s="945"/>
      <c r="N17" s="1690">
        <f>N14</f>
        <v>317958.45</v>
      </c>
      <c r="O17" s="945"/>
      <c r="P17" s="1589"/>
      <c r="Q17" s="1590"/>
      <c r="R17" s="1591"/>
      <c r="S17" s="1596"/>
      <c r="T17" s="1596"/>
      <c r="U17" s="1596"/>
      <c r="V17" s="1596"/>
      <c r="W17" s="1596"/>
      <c r="X17" s="1691">
        <f>SUM(X11:X16)</f>
        <v>16371.04</v>
      </c>
      <c r="Y17" s="1596"/>
      <c r="Z17" s="1597"/>
      <c r="AA17" s="1598"/>
      <c r="AB17" s="1599"/>
      <c r="AC17" s="1604"/>
      <c r="AD17" s="1604"/>
      <c r="AE17" s="1604"/>
      <c r="AF17" s="1604"/>
      <c r="AG17" s="1604"/>
      <c r="AH17" s="1692">
        <f>SUM(AH11:AH16)</f>
        <v>12228.09</v>
      </c>
      <c r="AI17" s="1604"/>
      <c r="AJ17" s="1605"/>
      <c r="AK17" s="1606"/>
      <c r="AL17" s="1599"/>
      <c r="AM17" s="1620"/>
      <c r="AN17" s="1611"/>
      <c r="AO17" s="1611"/>
      <c r="AP17" s="1611"/>
      <c r="AQ17" s="1611"/>
      <c r="AR17" s="1693">
        <f>SUM(AR11:AR16)</f>
        <v>0</v>
      </c>
      <c r="AS17" s="1611"/>
      <c r="AT17" s="1612"/>
      <c r="AU17" s="1620"/>
      <c r="AV17" s="1611"/>
      <c r="AW17" s="1611"/>
      <c r="AX17" s="1611"/>
      <c r="AY17" s="1611"/>
      <c r="AZ17" s="1693">
        <f>SUM(AZ11:AZ16)</f>
        <v>24996.94</v>
      </c>
      <c r="BA17" s="1611"/>
      <c r="BB17" s="1612"/>
    </row>
    <row r="18" ht="13.75" customHeight="1" spans="2:55">
      <c r="B18" s="1579"/>
      <c r="C18" s="1657" t="s">
        <v>35</v>
      </c>
      <c r="D18" s="1582"/>
      <c r="E18" s="1677">
        <f>E13-E16</f>
        <v>-26705.2310183757</v>
      </c>
      <c r="F18" s="1583"/>
      <c r="H18" s="97"/>
      <c r="I18" s="945"/>
      <c r="J18" s="945"/>
      <c r="K18" s="945"/>
      <c r="L18" s="1589"/>
      <c r="M18" s="945"/>
      <c r="N18" s="1588"/>
      <c r="O18" s="945"/>
      <c r="P18" s="1589"/>
      <c r="Q18" s="1590"/>
      <c r="R18" s="1591"/>
      <c r="S18" s="1596"/>
      <c r="T18" s="1596"/>
      <c r="U18" s="1596"/>
      <c r="V18" s="1596"/>
      <c r="W18" s="1596"/>
      <c r="X18" s="1595"/>
      <c r="Y18" s="1596"/>
      <c r="Z18" s="1597"/>
      <c r="AA18" s="1598"/>
      <c r="AB18" s="1599"/>
      <c r="AC18" s="1604"/>
      <c r="AD18" s="1604"/>
      <c r="AE18" s="1604"/>
      <c r="AF18" s="1604"/>
      <c r="AG18" s="1604"/>
      <c r="AH18" s="1603"/>
      <c r="AI18" s="1604"/>
      <c r="AJ18" s="1605"/>
      <c r="AK18" s="1606"/>
      <c r="AL18" s="1599"/>
      <c r="AM18" s="1620"/>
      <c r="AN18" s="1611"/>
      <c r="AO18" s="1611"/>
      <c r="AP18" s="1611"/>
      <c r="AQ18" s="1611"/>
      <c r="AR18" s="1610"/>
      <c r="AS18" s="1611"/>
      <c r="AT18" s="1612"/>
      <c r="AU18" s="1620"/>
      <c r="AV18" s="1611"/>
      <c r="AW18" s="1611"/>
      <c r="AX18" s="1611"/>
      <c r="AY18" s="1611"/>
      <c r="AZ18" s="1610"/>
      <c r="BA18" s="1611"/>
      <c r="BB18" s="1612"/>
    </row>
    <row r="19" ht="13.75" customHeight="1" spans="2:55">
      <c r="B19" s="1579"/>
      <c r="C19" s="1582"/>
      <c r="D19" s="1582"/>
      <c r="E19" s="1582"/>
      <c r="F19" s="1583"/>
      <c r="H19" s="97"/>
      <c r="I19" s="1647" t="s">
        <v>36</v>
      </c>
      <c r="J19" s="1648"/>
      <c r="K19" s="1648"/>
      <c r="L19" s="1649"/>
      <c r="M19" s="1648"/>
      <c r="N19" s="1588"/>
      <c r="O19" s="945"/>
      <c r="P19" s="1589"/>
      <c r="Q19" s="1590"/>
      <c r="R19" s="1591"/>
      <c r="S19" s="1650" t="s">
        <v>36</v>
      </c>
      <c r="T19" s="1651"/>
      <c r="U19" s="1651"/>
      <c r="V19" s="1651"/>
      <c r="W19" s="1651"/>
      <c r="X19" s="1595"/>
      <c r="Y19" s="1596"/>
      <c r="Z19" s="1597"/>
      <c r="AA19" s="1598"/>
      <c r="AB19" s="1599"/>
      <c r="AC19" s="1652" t="s">
        <v>36</v>
      </c>
      <c r="AD19" s="1653"/>
      <c r="AE19" s="1653"/>
      <c r="AF19" s="1653"/>
      <c r="AG19" s="1653"/>
      <c r="AH19" s="1603"/>
      <c r="AI19" s="1604"/>
      <c r="AJ19" s="1605"/>
      <c r="AK19" s="1606"/>
      <c r="AL19" s="1599"/>
      <c r="AM19" s="1654" t="s">
        <v>36</v>
      </c>
      <c r="AN19" s="1655"/>
      <c r="AO19" s="1655"/>
      <c r="AP19" s="1655"/>
      <c r="AQ19" s="1655"/>
      <c r="AR19" s="1610"/>
      <c r="AS19" s="1611"/>
      <c r="AT19" s="1612"/>
      <c r="AU19" s="1654" t="s">
        <v>36</v>
      </c>
      <c r="AV19" s="1655"/>
      <c r="AW19" s="1655"/>
      <c r="AX19" s="1655"/>
      <c r="AY19" s="1655"/>
      <c r="AZ19" s="1610"/>
      <c r="BA19" s="1611"/>
      <c r="BB19" s="1612"/>
    </row>
    <row r="20" ht="13" customHeight="1" spans="2:55">
      <c r="B20" s="1579"/>
      <c r="C20" s="1582"/>
      <c r="D20" s="1582"/>
      <c r="E20" s="1582"/>
      <c r="F20" s="1583"/>
      <c r="H20" s="97"/>
      <c r="I20" s="945"/>
      <c r="J20" s="945"/>
      <c r="K20" s="945"/>
      <c r="L20" s="1589"/>
      <c r="M20" s="945"/>
      <c r="N20" s="1588"/>
      <c r="O20" s="945"/>
      <c r="P20" s="1589"/>
      <c r="Q20" s="1590"/>
      <c r="R20" s="1591"/>
      <c r="S20" s="1596"/>
      <c r="T20" s="1596"/>
      <c r="U20" s="1596"/>
      <c r="V20" s="1596"/>
      <c r="W20" s="1596"/>
      <c r="X20" s="1595"/>
      <c r="Y20" s="1596"/>
      <c r="Z20" s="1597"/>
      <c r="AA20" s="1598"/>
      <c r="AB20" s="1599"/>
      <c r="AC20" s="1604"/>
      <c r="AD20" s="1604"/>
      <c r="AE20" s="1604"/>
      <c r="AF20" s="1604"/>
      <c r="AG20" s="1604"/>
      <c r="AH20" s="1603"/>
      <c r="AI20" s="1604"/>
      <c r="AJ20" s="1605"/>
      <c r="AK20" s="1606"/>
      <c r="AL20" s="1599"/>
      <c r="AM20" s="1620"/>
      <c r="AN20" s="1611"/>
      <c r="AO20" s="1611"/>
      <c r="AP20" s="1611"/>
      <c r="AQ20" s="1611"/>
      <c r="AR20" s="1610"/>
      <c r="AS20" s="1611"/>
      <c r="AT20" s="1612"/>
      <c r="AU20" s="1620"/>
      <c r="AV20" s="1611"/>
      <c r="AW20" s="1611"/>
      <c r="AX20" s="1611"/>
      <c r="AY20" s="1611"/>
      <c r="AZ20" s="1610"/>
      <c r="BA20" s="1611"/>
      <c r="BB20" s="1612"/>
    </row>
    <row r="21" ht="15.25" customHeight="1" spans="2:55">
      <c r="B21" s="1579"/>
      <c r="C21" s="1657" t="s">
        <v>37</v>
      </c>
      <c r="D21" s="1582"/>
      <c r="E21" s="1694">
        <v>0</v>
      </c>
      <c r="F21" s="1583"/>
      <c r="H21" s="97"/>
      <c r="I21" s="1660" t="s">
        <v>38</v>
      </c>
      <c r="J21" s="945"/>
      <c r="K21" s="945"/>
      <c r="L21" s="1589"/>
      <c r="M21" s="945"/>
      <c r="N21" s="1661">
        <f>L22+L23</f>
        <v>302102.791018376</v>
      </c>
      <c r="O21" s="945"/>
      <c r="P21" s="1589">
        <v>1</v>
      </c>
      <c r="Q21" s="1590"/>
      <c r="R21" s="1591"/>
      <c r="S21" s="1662" t="s">
        <v>38</v>
      </c>
      <c r="T21" s="1596"/>
      <c r="U21" s="1596"/>
      <c r="V21" s="1695"/>
      <c r="W21" s="1596"/>
      <c r="X21" s="1664">
        <f>V22+V23</f>
        <v>36788.27</v>
      </c>
      <c r="Y21" s="1596"/>
      <c r="Z21" s="1597">
        <v>1</v>
      </c>
      <c r="AA21" s="1598"/>
      <c r="AB21" s="1599"/>
      <c r="AC21" s="1665" t="s">
        <v>38</v>
      </c>
      <c r="AD21" s="1604"/>
      <c r="AE21" s="1604"/>
      <c r="AF21" s="1696"/>
      <c r="AG21" s="1604"/>
      <c r="AH21" s="1667">
        <f>AF22+AF23</f>
        <v>18612.14</v>
      </c>
      <c r="AI21" s="1604"/>
      <c r="AJ21" s="1605">
        <v>1</v>
      </c>
      <c r="AK21" s="1606"/>
      <c r="AL21" s="1599"/>
      <c r="AM21" s="1668" t="s">
        <v>38</v>
      </c>
      <c r="AN21" s="1611"/>
      <c r="AO21" s="1611"/>
      <c r="AP21" s="1697"/>
      <c r="AQ21" s="1611">
        <f>AQ22+AQ23</f>
        <v>0</v>
      </c>
      <c r="AR21" s="1670">
        <f>AQ21+AQ24</f>
        <v>0</v>
      </c>
      <c r="AS21" s="1611"/>
      <c r="AT21" s="1612">
        <v>1</v>
      </c>
      <c r="AU21" s="1668" t="s">
        <v>38</v>
      </c>
      <c r="AV21" s="1611"/>
      <c r="AW21" s="1611"/>
      <c r="AX21" s="1697"/>
      <c r="AY21" s="1698"/>
      <c r="AZ21" s="1670">
        <f>AY21+AY23</f>
        <v>26341.66</v>
      </c>
      <c r="BA21" s="1611"/>
      <c r="BB21" s="1612">
        <v>1</v>
      </c>
    </row>
    <row r="22" ht="13" customHeight="1" spans="2:55">
      <c r="B22" s="1579"/>
      <c r="C22" s="1582"/>
      <c r="D22" s="1582"/>
      <c r="E22" s="1582"/>
      <c r="F22" s="1583"/>
      <c r="H22" s="97"/>
      <c r="I22" s="1660" t="s">
        <v>39</v>
      </c>
      <c r="J22" s="945"/>
      <c r="K22" s="945"/>
      <c r="L22" s="1673"/>
      <c r="M22" s="945"/>
      <c r="N22" s="1661"/>
      <c r="O22" s="945"/>
      <c r="P22" s="1589"/>
      <c r="Q22" s="1590"/>
      <c r="R22" s="1591"/>
      <c r="S22" s="1662" t="s">
        <v>39</v>
      </c>
      <c r="T22" s="1596"/>
      <c r="U22" s="1596"/>
      <c r="V22" s="1699"/>
      <c r="W22" s="1596"/>
      <c r="X22" s="1664"/>
      <c r="Y22" s="1596"/>
      <c r="Z22" s="1597"/>
      <c r="AA22" s="1598"/>
      <c r="AB22" s="1599"/>
      <c r="AC22" s="1665" t="s">
        <v>39</v>
      </c>
      <c r="AD22" s="1604"/>
      <c r="AE22" s="1604"/>
      <c r="AF22" s="1700"/>
      <c r="AG22" s="1604"/>
      <c r="AH22" s="1667"/>
      <c r="AI22" s="1604"/>
      <c r="AJ22" s="1605"/>
      <c r="AK22" s="1606"/>
      <c r="AL22" s="1599"/>
      <c r="AM22" s="1668" t="s">
        <v>39</v>
      </c>
      <c r="AN22" s="1611"/>
      <c r="AO22" s="1611"/>
      <c r="AP22" s="1701"/>
      <c r="AQ22" s="1611"/>
      <c r="AR22" s="1670"/>
      <c r="AS22" s="1611"/>
      <c r="AT22" s="1612"/>
      <c r="AU22" s="1668" t="s">
        <v>39</v>
      </c>
      <c r="AV22" s="1611"/>
      <c r="AW22" s="1611"/>
      <c r="AX22" s="1701"/>
      <c r="AY22" s="1611"/>
      <c r="AZ22" s="1670"/>
      <c r="BA22" s="1611"/>
      <c r="BB22" s="1612"/>
    </row>
    <row r="23" ht="14.5" customHeight="1" spans="2:55">
      <c r="B23" s="1579"/>
      <c r="C23" s="1582"/>
      <c r="D23" s="1582"/>
      <c r="E23" s="1582"/>
      <c r="F23" s="1583"/>
      <c r="H23" s="97"/>
      <c r="I23" s="1660" t="s">
        <v>40</v>
      </c>
      <c r="J23" s="945"/>
      <c r="K23" s="945"/>
      <c r="L23" s="1673">
        <f>('Shipmanagement Cost'!X2+'Shipmanagement Cost'!Y2+'Shipmanagement Cost'!Z2+'Shipmanagement Cost'!AA2+'Shipmanagement Cost'!AB2+'Shipmanagement Cost'!T2)</f>
        <v>302102.791018376</v>
      </c>
      <c r="M23" s="945"/>
      <c r="N23" s="1661"/>
      <c r="O23" s="945"/>
      <c r="P23" s="1589"/>
      <c r="Q23" s="1590"/>
      <c r="R23" s="1591"/>
      <c r="S23" s="1662" t="s">
        <v>40</v>
      </c>
      <c r="T23" s="1596"/>
      <c r="U23" s="1596"/>
      <c r="V23" s="1664">
        <f>'Owner Cost'!X2+'Owner Cost'!Y2+'Owner Cost'!Z2+'Owner Cost'!AA2+'Owner Cost'!AB2+'Owner Cost'!T2</f>
        <v>36788.27</v>
      </c>
      <c r="W23" s="1596"/>
      <c r="X23" s="1664"/>
      <c r="Y23" s="1596"/>
      <c r="Z23" s="1597"/>
      <c r="AA23" s="1598"/>
      <c r="AB23" s="1599"/>
      <c r="AC23" s="1665" t="s">
        <v>40</v>
      </c>
      <c r="AD23" s="1604"/>
      <c r="AE23" s="1604"/>
      <c r="AF23" s="1667">
        <f>'Take-Over Cost'!X2+'Take-Over Cost'!Y2+'Take-Over Cost'!Z2+'Take-Over Cost'!AA2+'Take-Over Cost'!AB2+'Take-Over Cost'!T2</f>
        <v>18612.14</v>
      </c>
      <c r="AG23" s="1604"/>
      <c r="AH23" s="1667"/>
      <c r="AI23" s="1604"/>
      <c r="AJ23" s="1605"/>
      <c r="AK23" s="1606"/>
      <c r="AL23" s="1599"/>
      <c r="AM23" s="1668" t="s">
        <v>40</v>
      </c>
      <c r="AN23" s="1611"/>
      <c r="AO23" s="1611"/>
      <c r="AP23" s="1670"/>
      <c r="AQ23" s="1611"/>
      <c r="AR23" s="1670"/>
      <c r="AS23" s="1611"/>
      <c r="AT23" s="1612"/>
      <c r="AU23" s="1668" t="s">
        <v>40</v>
      </c>
      <c r="AV23" s="1611"/>
      <c r="AW23" s="1611"/>
      <c r="AX23" s="1670"/>
      <c r="AY23" s="1698">
        <f>'BMA Flag Change'!Y2+'BMA Flag Change'!Z2+'BMA Flag Change'!AA2+'BMA Flag Change'!AB2+'BMA Flag Change'!AC2+'BMA Flag Change'!T2</f>
        <v>26341.66</v>
      </c>
      <c r="AZ23" s="1670"/>
      <c r="BA23" s="1611"/>
      <c r="BB23" s="1612"/>
    </row>
    <row r="24" ht="14.5" customHeight="1" spans="2:55">
      <c r="B24" s="1579"/>
      <c r="C24" s="1657" t="s">
        <v>41</v>
      </c>
      <c r="D24" s="1582"/>
      <c r="E24" s="1582"/>
      <c r="F24" s="1583"/>
      <c r="H24" s="97"/>
      <c r="I24" s="1660" t="s">
        <v>42</v>
      </c>
      <c r="J24" s="945"/>
      <c r="K24" s="945"/>
      <c r="L24" s="1702">
        <f>('Shipmanagement Cost'!W2)</f>
        <v>6868.04</v>
      </c>
      <c r="M24" s="945"/>
      <c r="N24" s="1661">
        <f>L24</f>
        <v>6868.04</v>
      </c>
      <c r="O24" s="945"/>
      <c r="P24" s="1589">
        <v>1</v>
      </c>
      <c r="Q24" s="1590"/>
      <c r="R24" s="1591"/>
      <c r="S24" s="1662" t="s">
        <v>42</v>
      </c>
      <c r="T24" s="1596"/>
      <c r="U24" s="1596"/>
      <c r="V24" s="1699">
        <f>'Owner Cost'!W2</f>
        <v>0</v>
      </c>
      <c r="W24" s="1596"/>
      <c r="X24" s="1664">
        <f>V24</f>
        <v>0</v>
      </c>
      <c r="Y24" s="1596"/>
      <c r="Z24" s="1597">
        <v>1</v>
      </c>
      <c r="AA24" s="1598"/>
      <c r="AB24" s="1599"/>
      <c r="AC24" s="1665" t="s">
        <v>42</v>
      </c>
      <c r="AD24" s="1604"/>
      <c r="AE24" s="1604"/>
      <c r="AF24" s="1700">
        <f>'Take-Over Cost'!W2</f>
        <v>7546.85</v>
      </c>
      <c r="AG24" s="1604"/>
      <c r="AH24" s="1667">
        <f>AF24</f>
        <v>7546.85</v>
      </c>
      <c r="AI24" s="1604"/>
      <c r="AJ24" s="1605">
        <v>1</v>
      </c>
      <c r="AK24" s="1606"/>
      <c r="AL24" s="1599"/>
      <c r="AM24" s="1668" t="s">
        <v>42</v>
      </c>
      <c r="AN24" s="1611"/>
      <c r="AO24" s="1611"/>
      <c r="AP24" s="1701"/>
      <c r="AQ24" s="1611"/>
      <c r="AR24" s="1670">
        <f>'Take-Over Cost'!AG2</f>
        <v>0</v>
      </c>
      <c r="AS24" s="1611"/>
      <c r="AT24" s="1612">
        <v>1</v>
      </c>
      <c r="AU24" s="1668" t="s">
        <v>42</v>
      </c>
      <c r="AV24" s="1611"/>
      <c r="AW24" s="1611"/>
      <c r="AX24" s="1701"/>
      <c r="AY24" s="1698">
        <f>'BMA Flag Change'!X2</f>
        <v>0</v>
      </c>
      <c r="AZ24" s="1670">
        <f>'BMA Flag Change'!X2</f>
        <v>0</v>
      </c>
      <c r="BA24" s="1611"/>
      <c r="BB24" s="1612">
        <v>1</v>
      </c>
      <c r="BC24" s="319"/>
    </row>
    <row r="25" ht="13" customHeight="1" spans="2:55">
      <c r="B25" s="1579"/>
      <c r="C25" s="1582" t="s">
        <v>43</v>
      </c>
      <c r="D25" s="1582"/>
      <c r="E25" s="1703">
        <f>E18-E21</f>
        <v>-26705.2310183757</v>
      </c>
      <c r="F25" s="1583"/>
      <c r="H25" s="97"/>
      <c r="I25" s="1679"/>
      <c r="J25" s="1679"/>
      <c r="K25" s="1679"/>
      <c r="L25" s="1589"/>
      <c r="M25" s="1679"/>
      <c r="N25" s="1661"/>
      <c r="O25" s="945"/>
      <c r="P25" s="1589"/>
      <c r="Q25" s="1590"/>
      <c r="R25" s="1591"/>
      <c r="S25" s="1682"/>
      <c r="T25" s="1682"/>
      <c r="U25" s="1682"/>
      <c r="V25" s="1682"/>
      <c r="W25" s="1682"/>
      <c r="X25" s="1664"/>
      <c r="Y25" s="1596"/>
      <c r="Z25" s="1597"/>
      <c r="AA25" s="1598"/>
      <c r="AB25" s="1599"/>
      <c r="AC25" s="1683"/>
      <c r="AD25" s="1683"/>
      <c r="AE25" s="1683"/>
      <c r="AF25" s="1683"/>
      <c r="AG25" s="1683"/>
      <c r="AH25" s="1667"/>
      <c r="AI25" s="1604"/>
      <c r="AJ25" s="1605"/>
      <c r="AK25" s="1606"/>
      <c r="AL25" s="1599"/>
      <c r="AM25" s="1704"/>
      <c r="AN25" s="1684"/>
      <c r="AO25" s="1684"/>
      <c r="AP25" s="1684"/>
      <c r="AQ25" s="1684"/>
      <c r="AR25" s="1670"/>
      <c r="AS25" s="1611"/>
      <c r="AT25" s="1612"/>
      <c r="AU25" s="1704"/>
      <c r="AV25" s="1684"/>
      <c r="AW25" s="1684"/>
      <c r="AX25" s="1684"/>
      <c r="AY25" s="1684"/>
      <c r="AZ25" s="1670"/>
      <c r="BA25" s="1611"/>
      <c r="BB25" s="1612"/>
    </row>
    <row r="26" ht="13" customHeight="1" spans="2:55">
      <c r="B26" s="1579"/>
      <c r="C26" s="1582" t="s">
        <v>44</v>
      </c>
      <c r="D26" s="1658">
        <v>7</v>
      </c>
      <c r="E26" s="1705">
        <v>0</v>
      </c>
      <c r="F26" s="1583"/>
      <c r="H26" s="97"/>
      <c r="I26" s="945"/>
      <c r="J26" s="945"/>
      <c r="K26" s="945"/>
      <c r="L26" s="1589"/>
      <c r="M26" s="945"/>
      <c r="N26" s="1690">
        <f>SUM(N21:N25)</f>
        <v>308970.831018376</v>
      </c>
      <c r="O26" s="945"/>
      <c r="P26" s="1589"/>
      <c r="Q26" s="1590"/>
      <c r="R26" s="1591"/>
      <c r="S26" s="1596"/>
      <c r="T26" s="1596"/>
      <c r="U26" s="1596"/>
      <c r="V26" s="1596"/>
      <c r="W26" s="1596"/>
      <c r="X26" s="1691">
        <f>SUM(X21:X25)</f>
        <v>36788.27</v>
      </c>
      <c r="Y26" s="1596"/>
      <c r="Z26" s="1597"/>
      <c r="AA26" s="1598"/>
      <c r="AB26" s="1599"/>
      <c r="AC26" s="1604"/>
      <c r="AD26" s="1604"/>
      <c r="AE26" s="1604"/>
      <c r="AF26" s="1604"/>
      <c r="AG26" s="1604"/>
      <c r="AH26" s="1692">
        <f>SUM(AH21:AH25)</f>
        <v>26158.99</v>
      </c>
      <c r="AI26" s="1604"/>
      <c r="AJ26" s="1605"/>
      <c r="AK26" s="1606"/>
      <c r="AL26" s="1599"/>
      <c r="AM26" s="1620"/>
      <c r="AN26" s="1611"/>
      <c r="AO26" s="1611"/>
      <c r="AP26" s="1611"/>
      <c r="AQ26" s="1611"/>
      <c r="AR26" s="1693">
        <f>SUM(AR21:AR25)</f>
        <v>0</v>
      </c>
      <c r="AS26" s="1611"/>
      <c r="AT26" s="1612"/>
      <c r="AU26" s="1620"/>
      <c r="AV26" s="1611"/>
      <c r="AW26" s="1611"/>
      <c r="AX26" s="1611"/>
      <c r="AY26" s="1611"/>
      <c r="AZ26" s="1693">
        <f>SUM(AZ21:AZ25)</f>
        <v>26341.66</v>
      </c>
      <c r="BA26" s="1611"/>
      <c r="BB26" s="1612"/>
    </row>
    <row r="27" ht="13" customHeight="1" spans="2:55">
      <c r="B27" s="1579"/>
      <c r="C27" s="1582" t="s">
        <v>45</v>
      </c>
      <c r="D27" s="1658">
        <v>7</v>
      </c>
      <c r="E27" s="1705">
        <f>E25-E26</f>
        <v>-26705.2310183757</v>
      </c>
      <c r="F27" s="1583"/>
      <c r="H27" s="97"/>
      <c r="I27" s="945"/>
      <c r="J27" s="945"/>
      <c r="K27" s="945"/>
      <c r="L27" s="1589"/>
      <c r="M27" s="945"/>
      <c r="N27" s="1588"/>
      <c r="O27" s="945"/>
      <c r="P27" s="1589"/>
      <c r="Q27" s="1590"/>
      <c r="R27" s="1591"/>
      <c r="S27" s="1596"/>
      <c r="T27" s="1596"/>
      <c r="U27" s="1596"/>
      <c r="V27" s="1596"/>
      <c r="W27" s="1596"/>
      <c r="X27" s="1595"/>
      <c r="Y27" s="1596"/>
      <c r="Z27" s="1597"/>
      <c r="AA27" s="1598"/>
      <c r="AB27" s="1599"/>
      <c r="AC27" s="1604"/>
      <c r="AD27" s="1604"/>
      <c r="AE27" s="1604"/>
      <c r="AF27" s="1604"/>
      <c r="AG27" s="1604"/>
      <c r="AH27" s="1603"/>
      <c r="AI27" s="1604"/>
      <c r="AJ27" s="1605"/>
      <c r="AK27" s="1606"/>
      <c r="AL27" s="1599"/>
      <c r="AM27" s="1620"/>
      <c r="AN27" s="1611"/>
      <c r="AO27" s="1611"/>
      <c r="AP27" s="1611"/>
      <c r="AQ27" s="1611"/>
      <c r="AR27" s="1610"/>
      <c r="AS27" s="1611"/>
      <c r="AT27" s="1612"/>
      <c r="AU27" s="1620"/>
      <c r="AV27" s="1611"/>
      <c r="AW27" s="1611"/>
      <c r="AX27" s="1611"/>
      <c r="AY27" s="1611"/>
      <c r="AZ27" s="1610"/>
      <c r="BA27" s="1611"/>
      <c r="BB27" s="1612"/>
    </row>
    <row r="28" ht="13.75" customHeight="1" spans="2:55">
      <c r="B28" s="1579"/>
      <c r="C28" s="1582"/>
      <c r="D28" s="1582"/>
      <c r="E28" s="1706">
        <f>SUM(E26:E27)</f>
        <v>-26705.2310183757</v>
      </c>
      <c r="F28" s="1583"/>
      <c r="H28" s="97"/>
      <c r="I28" s="1707" t="s">
        <v>46</v>
      </c>
      <c r="J28" s="945"/>
      <c r="K28" s="945"/>
      <c r="L28" s="1589"/>
      <c r="M28" s="945"/>
      <c r="N28" s="1708">
        <f>N17-N26</f>
        <v>8987.61898162425</v>
      </c>
      <c r="O28" s="945"/>
      <c r="P28" s="1589"/>
      <c r="Q28" s="1590"/>
      <c r="R28" s="1591"/>
      <c r="S28" s="1709" t="s">
        <v>46</v>
      </c>
      <c r="T28" s="1596"/>
      <c r="U28" s="1596"/>
      <c r="V28" s="1596"/>
      <c r="W28" s="1596"/>
      <c r="X28" s="1710">
        <f>X17-X26</f>
        <v>-20417.23</v>
      </c>
      <c r="Y28" s="1596"/>
      <c r="Z28" s="1597"/>
      <c r="AA28" s="1598"/>
      <c r="AB28" s="1599"/>
      <c r="AC28" s="1711" t="s">
        <v>46</v>
      </c>
      <c r="AD28" s="1604"/>
      <c r="AE28" s="1604"/>
      <c r="AF28" s="1604"/>
      <c r="AG28" s="1604"/>
      <c r="AH28" s="1712">
        <f>AH17-AH26</f>
        <v>-13930.9</v>
      </c>
      <c r="AI28" s="1604"/>
      <c r="AJ28" s="1605"/>
      <c r="AK28" s="1606"/>
      <c r="AL28" s="1599"/>
      <c r="AM28" s="1713" t="s">
        <v>46</v>
      </c>
      <c r="AN28" s="1611"/>
      <c r="AO28" s="1611"/>
      <c r="AP28" s="1611"/>
      <c r="AQ28" s="1611"/>
      <c r="AR28" s="1714">
        <f>AR17-AR26</f>
        <v>0</v>
      </c>
      <c r="AS28" s="1611"/>
      <c r="AT28" s="1612"/>
      <c r="AU28" s="1713" t="s">
        <v>46</v>
      </c>
      <c r="AV28" s="1611"/>
      <c r="AW28" s="1611"/>
      <c r="AX28" s="1611"/>
      <c r="AY28" s="1611"/>
      <c r="AZ28" s="1714">
        <f>AZ17-AZ26</f>
        <v>-1344.72</v>
      </c>
      <c r="BA28" s="1611"/>
      <c r="BB28" s="1612"/>
    </row>
    <row r="29" ht="15.25" customHeight="1" spans="2:55">
      <c r="B29" s="1579"/>
      <c r="C29" s="1582"/>
      <c r="D29" s="1582"/>
      <c r="E29" s="1582"/>
      <c r="F29" s="1583"/>
      <c r="H29" s="97"/>
      <c r="I29" s="1660"/>
      <c r="J29" s="945"/>
      <c r="K29" s="945"/>
      <c r="L29" s="1589"/>
      <c r="M29" s="945"/>
      <c r="N29" s="1588"/>
      <c r="O29" s="945"/>
      <c r="P29" s="1589"/>
      <c r="Q29" s="1590"/>
      <c r="R29" s="1591"/>
      <c r="S29" s="1662"/>
      <c r="T29" s="1596"/>
      <c r="U29" s="1596"/>
      <c r="V29" s="1596"/>
      <c r="W29" s="1596"/>
      <c r="X29" s="1595"/>
      <c r="Y29" s="1596"/>
      <c r="Z29" s="1597"/>
      <c r="AA29" s="1598"/>
      <c r="AB29" s="1599"/>
      <c r="AC29" s="1665"/>
      <c r="AD29" s="1604"/>
      <c r="AE29" s="1604"/>
      <c r="AF29" s="1604"/>
      <c r="AG29" s="1604"/>
      <c r="AH29" s="1603"/>
      <c r="AI29" s="1604"/>
      <c r="AJ29" s="1605"/>
      <c r="AK29" s="1606"/>
      <c r="AL29" s="1599"/>
      <c r="AM29" s="1668"/>
      <c r="AN29" s="1611"/>
      <c r="AO29" s="1611"/>
      <c r="AP29" s="1611"/>
      <c r="AQ29" s="1611"/>
      <c r="AR29" s="1610"/>
      <c r="AS29" s="1611"/>
      <c r="AT29" s="1612"/>
      <c r="AU29" s="1668"/>
      <c r="AV29" s="1611"/>
      <c r="AW29" s="1611"/>
      <c r="AX29" s="1611"/>
      <c r="AY29" s="1611"/>
      <c r="AZ29" s="1610"/>
      <c r="BA29" s="1611"/>
      <c r="BB29" s="1612"/>
    </row>
    <row r="30" ht="14.5" customHeight="1" spans="2:55">
      <c r="B30" s="1579"/>
      <c r="C30" s="1582"/>
      <c r="D30" s="1582"/>
      <c r="E30" s="1582"/>
      <c r="F30" s="1583"/>
      <c r="H30" s="97"/>
      <c r="I30" s="1660"/>
      <c r="J30" s="945"/>
      <c r="K30" s="945"/>
      <c r="L30" s="1589"/>
      <c r="M30" s="945"/>
      <c r="N30" s="1588"/>
      <c r="O30" s="945"/>
      <c r="P30" s="1589"/>
      <c r="Q30" s="1590"/>
      <c r="R30" s="1591"/>
      <c r="S30" s="1662"/>
      <c r="T30" s="1596"/>
      <c r="U30" s="1596"/>
      <c r="V30" s="1596"/>
      <c r="W30" s="1596"/>
      <c r="X30" s="1595"/>
      <c r="Y30" s="1596"/>
      <c r="Z30" s="1597"/>
      <c r="AA30" s="1598"/>
      <c r="AB30" s="1599"/>
      <c r="AC30" s="1665"/>
      <c r="AD30" s="1604"/>
      <c r="AE30" s="1604"/>
      <c r="AF30" s="1604"/>
      <c r="AG30" s="1604"/>
      <c r="AH30" s="1603"/>
      <c r="AI30" s="1604"/>
      <c r="AJ30" s="1605"/>
      <c r="AK30" s="1606"/>
      <c r="AL30" s="1599"/>
      <c r="AM30" s="1668"/>
      <c r="AN30" s="1611"/>
      <c r="AO30" s="1611"/>
      <c r="AP30" s="1611"/>
      <c r="AQ30" s="1611"/>
      <c r="AR30" s="1610"/>
      <c r="AS30" s="1611"/>
      <c r="AT30" s="1612"/>
      <c r="AU30" s="1668"/>
      <c r="AV30" s="1611"/>
      <c r="AW30" s="1611"/>
      <c r="AX30" s="1611"/>
      <c r="AY30" s="1611"/>
      <c r="AZ30" s="1610"/>
      <c r="BA30" s="1611"/>
      <c r="BB30" s="1612"/>
    </row>
    <row r="31" ht="15.25" customHeight="1" spans="2:55">
      <c r="B31" s="1715"/>
      <c r="C31" s="1716"/>
      <c r="D31" s="1716"/>
      <c r="E31" s="1716"/>
      <c r="F31" s="1717"/>
      <c r="H31" s="97"/>
      <c r="I31" s="1660"/>
      <c r="J31" s="945"/>
      <c r="K31" s="945"/>
      <c r="L31" s="1589"/>
      <c r="M31" s="945"/>
      <c r="N31" s="1639" t="s">
        <v>16</v>
      </c>
      <c r="O31" s="945"/>
      <c r="P31" s="1589"/>
      <c r="Q31" s="1590"/>
      <c r="R31" s="1591"/>
      <c r="S31" s="1662"/>
      <c r="T31" s="1596"/>
      <c r="U31" s="1596"/>
      <c r="V31" s="1596"/>
      <c r="W31" s="1596"/>
      <c r="X31" s="1641" t="s">
        <v>16</v>
      </c>
      <c r="Y31" s="1596"/>
      <c r="Z31" s="1597"/>
      <c r="AA31" s="1598"/>
      <c r="AB31" s="1599"/>
      <c r="AC31" s="1665"/>
      <c r="AD31" s="1604"/>
      <c r="AE31" s="1604"/>
      <c r="AF31" s="1604"/>
      <c r="AG31" s="1604"/>
      <c r="AH31" s="1643" t="s">
        <v>16</v>
      </c>
      <c r="AI31" s="1604"/>
      <c r="AJ31" s="1605"/>
      <c r="AK31" s="1606"/>
      <c r="AL31" s="1599"/>
      <c r="AM31" s="1668"/>
      <c r="AN31" s="1611"/>
      <c r="AO31" s="1611"/>
      <c r="AP31" s="1611"/>
      <c r="AQ31" s="1611"/>
      <c r="AR31" s="1645" t="s">
        <v>16</v>
      </c>
      <c r="AS31" s="1611"/>
      <c r="AT31" s="1612"/>
      <c r="AU31" s="1668"/>
      <c r="AV31" s="1611"/>
      <c r="AW31" s="1611"/>
      <c r="AX31" s="1611"/>
      <c r="AY31" s="1611"/>
      <c r="AZ31" s="1645" t="s">
        <v>16</v>
      </c>
      <c r="BA31" s="1611"/>
      <c r="BB31" s="1612"/>
    </row>
    <row r="32" ht="13" customHeight="1" spans="2:55">
      <c r="B32" s="1718"/>
      <c r="C32" s="1719" t="s">
        <v>47</v>
      </c>
      <c r="D32" s="1720" t="s">
        <v>48</v>
      </c>
      <c r="E32" s="1721">
        <f ca="1">TODAY()</f>
        <v>46309</v>
      </c>
      <c r="F32" s="1722"/>
      <c r="H32" s="97"/>
      <c r="I32" s="1647" t="s">
        <v>49</v>
      </c>
      <c r="J32" s="945"/>
      <c r="K32" s="945"/>
      <c r="L32" s="1589"/>
      <c r="M32" s="945"/>
      <c r="N32" s="1588"/>
      <c r="O32" s="945"/>
      <c r="P32" s="1589"/>
      <c r="Q32" s="1590"/>
      <c r="R32" s="1591"/>
      <c r="S32" s="1650" t="s">
        <v>49</v>
      </c>
      <c r="T32" s="1596"/>
      <c r="U32" s="1596"/>
      <c r="V32" s="1596"/>
      <c r="W32" s="1596"/>
      <c r="X32" s="1595"/>
      <c r="Y32" s="1596"/>
      <c r="Z32" s="1597"/>
      <c r="AA32" s="1598"/>
      <c r="AB32" s="1599"/>
      <c r="AC32" s="1652" t="s">
        <v>49</v>
      </c>
      <c r="AD32" s="1604"/>
      <c r="AE32" s="1604"/>
      <c r="AF32" s="1604"/>
      <c r="AG32" s="1604"/>
      <c r="AH32" s="1603"/>
      <c r="AI32" s="1604"/>
      <c r="AJ32" s="1605"/>
      <c r="AK32" s="1606"/>
      <c r="AL32" s="1599"/>
      <c r="AM32" s="1654" t="s">
        <v>49</v>
      </c>
      <c r="AN32" s="1611"/>
      <c r="AO32" s="1611"/>
      <c r="AP32" s="1611"/>
      <c r="AQ32" s="1611"/>
      <c r="AR32" s="1610"/>
      <c r="AS32" s="1611"/>
      <c r="AT32" s="1612"/>
      <c r="AU32" s="1654" t="s">
        <v>49</v>
      </c>
      <c r="AV32" s="1611"/>
      <c r="AW32" s="1611"/>
      <c r="AX32" s="1611"/>
      <c r="AY32" s="1611"/>
      <c r="AZ32" s="1610"/>
      <c r="BA32" s="1611"/>
      <c r="BB32" s="1612"/>
    </row>
    <row r="33" ht="14.5" customHeight="1" spans="2:54">
      <c r="B33" s="1723"/>
      <c r="C33" s="1724" t="s">
        <v>50</v>
      </c>
      <c r="D33" s="1725">
        <f>'Shipmanagement RCVD'!I2+'Shipmanagement RCVD'!J2+'Shipmanagement RCVD'!K2+'Shipmanagement RCVD'!L2+'Shipmanagement RCVD'!M2</f>
        <v>371554.52</v>
      </c>
      <c r="E33" s="1726"/>
      <c r="F33" s="1727"/>
      <c r="H33" s="97"/>
      <c r="I33" s="1660"/>
      <c r="J33" s="945"/>
      <c r="K33" s="945"/>
      <c r="L33" s="1589"/>
      <c r="M33" s="945"/>
      <c r="N33" s="1588"/>
      <c r="O33" s="945"/>
      <c r="P33" s="1589"/>
      <c r="Q33" s="1590"/>
      <c r="R33" s="1591"/>
      <c r="S33" s="1662"/>
      <c r="T33" s="1596"/>
      <c r="U33" s="1596"/>
      <c r="V33" s="1596"/>
      <c r="W33" s="1596"/>
      <c r="X33" s="1595"/>
      <c r="Y33" s="1596"/>
      <c r="Z33" s="1597"/>
      <c r="AA33" s="1598"/>
      <c r="AB33" s="1599"/>
      <c r="AC33" s="1665"/>
      <c r="AD33" s="1604"/>
      <c r="AE33" s="1604"/>
      <c r="AF33" s="1604"/>
      <c r="AG33" s="1604"/>
      <c r="AH33" s="1603"/>
      <c r="AI33" s="1604"/>
      <c r="AJ33" s="1605"/>
      <c r="AK33" s="1606"/>
      <c r="AL33" s="1599"/>
      <c r="AM33" s="1668"/>
      <c r="AN33" s="1611"/>
      <c r="AO33" s="1611"/>
      <c r="AP33" s="1611"/>
      <c r="AQ33" s="1611"/>
      <c r="AR33" s="1610"/>
      <c r="AS33" s="1611"/>
      <c r="AT33" s="1612"/>
      <c r="AU33" s="1668"/>
      <c r="AV33" s="1611"/>
      <c r="AW33" s="1611"/>
      <c r="AX33" s="1611"/>
      <c r="AY33" s="1611"/>
      <c r="AZ33" s="1610"/>
      <c r="BA33" s="1611"/>
      <c r="BB33" s="1612"/>
    </row>
    <row r="34" ht="14.5" customHeight="1" spans="2:54">
      <c r="B34" s="1723"/>
      <c r="C34" s="1724" t="s">
        <v>51</v>
      </c>
      <c r="D34" s="1725">
        <f ca="1">'Bank Verification'!J11</f>
        <v>92779.85</v>
      </c>
      <c r="E34" s="1726"/>
      <c r="F34" s="1727"/>
      <c r="H34" s="97"/>
      <c r="I34" s="1660" t="s">
        <v>52</v>
      </c>
      <c r="J34" s="945"/>
      <c r="K34" s="945"/>
      <c r="L34" s="1589"/>
      <c r="M34" s="945"/>
      <c r="N34" s="1588"/>
      <c r="O34" s="945"/>
      <c r="P34" s="1589">
        <v>2</v>
      </c>
      <c r="Q34" s="1590"/>
      <c r="R34" s="1591"/>
      <c r="S34" s="1662" t="s">
        <v>52</v>
      </c>
      <c r="T34" s="1596"/>
      <c r="U34" s="1596"/>
      <c r="V34" s="1596"/>
      <c r="W34" s="1596"/>
      <c r="X34" s="1595">
        <v>0</v>
      </c>
      <c r="Y34" s="1596"/>
      <c r="Z34" s="1597">
        <v>2</v>
      </c>
      <c r="AA34" s="1598"/>
      <c r="AB34" s="1599"/>
      <c r="AC34" s="1665" t="s">
        <v>52</v>
      </c>
      <c r="AD34" s="1604"/>
      <c r="AE34" s="1604"/>
      <c r="AF34" s="1604"/>
      <c r="AG34" s="1604"/>
      <c r="AH34" s="1603">
        <v>0</v>
      </c>
      <c r="AI34" s="1604"/>
      <c r="AJ34" s="1605">
        <v>2</v>
      </c>
      <c r="AK34" s="1606"/>
      <c r="AL34" s="1599"/>
      <c r="AM34" s="1668" t="s">
        <v>52</v>
      </c>
      <c r="AN34" s="1611"/>
      <c r="AO34" s="1611"/>
      <c r="AP34" s="1611"/>
      <c r="AQ34" s="1611"/>
      <c r="AR34" s="1610">
        <v>0</v>
      </c>
      <c r="AS34" s="1611"/>
      <c r="AT34" s="1612">
        <v>2</v>
      </c>
      <c r="AU34" s="1668" t="s">
        <v>52</v>
      </c>
      <c r="AV34" s="1611"/>
      <c r="AW34" s="1611"/>
      <c r="AX34" s="1611"/>
      <c r="AY34" s="1611"/>
      <c r="AZ34" s="1610">
        <v>0</v>
      </c>
      <c r="BA34" s="1611"/>
      <c r="BB34" s="1612">
        <v>2</v>
      </c>
    </row>
    <row r="35" ht="14.5" customHeight="1" spans="2:54">
      <c r="B35" s="1723"/>
      <c r="C35" s="1724" t="s">
        <v>53</v>
      </c>
      <c r="D35" s="1725">
        <f>'CTM Expenses List'!AA2</f>
        <v>29908</v>
      </c>
      <c r="E35" s="1728" t="s">
        <v>54</v>
      </c>
      <c r="F35" s="1729"/>
      <c r="H35" s="97"/>
      <c r="I35" s="1660"/>
      <c r="J35" s="945"/>
      <c r="K35" s="945"/>
      <c r="L35" s="1589"/>
      <c r="M35" s="945"/>
      <c r="N35" s="1588"/>
      <c r="O35" s="945"/>
      <c r="P35" s="1589"/>
      <c r="Q35" s="1590"/>
      <c r="R35" s="1591"/>
      <c r="S35" s="1662"/>
      <c r="T35" s="1596"/>
      <c r="U35" s="1596"/>
      <c r="V35" s="1596"/>
      <c r="W35" s="1596"/>
      <c r="X35" s="1595"/>
      <c r="Y35" s="1596"/>
      <c r="Z35" s="1597"/>
      <c r="AA35" s="1598"/>
      <c r="AB35" s="1599"/>
      <c r="AC35" s="1665"/>
      <c r="AD35" s="1604"/>
      <c r="AE35" s="1604"/>
      <c r="AF35" s="1604"/>
      <c r="AG35" s="1604"/>
      <c r="AH35" s="1603"/>
      <c r="AI35" s="1604"/>
      <c r="AJ35" s="1605"/>
      <c r="AK35" s="1606"/>
      <c r="AL35" s="1599"/>
      <c r="AM35" s="1668"/>
      <c r="AN35" s="1611"/>
      <c r="AO35" s="1611"/>
      <c r="AP35" s="1611"/>
      <c r="AQ35" s="1611"/>
      <c r="AR35" s="1610"/>
      <c r="AS35" s="1611"/>
      <c r="AT35" s="1612"/>
      <c r="AU35" s="1668"/>
      <c r="AV35" s="1611"/>
      <c r="AW35" s="1611"/>
      <c r="AX35" s="1611"/>
      <c r="AY35" s="1611"/>
      <c r="AZ35" s="1610"/>
      <c r="BA35" s="1611"/>
      <c r="BB35" s="1612"/>
    </row>
    <row r="36" ht="14.5" customHeight="1" spans="2:54">
      <c r="B36" s="1723"/>
      <c r="C36" s="1726" t="s">
        <v>55</v>
      </c>
      <c r="D36" s="1730">
        <f>'Shipmanagement Cost'!AB2+'Shipmanagement Cost'!T2</f>
        <v>193372.591998376</v>
      </c>
      <c r="E36" s="1731">
        <v>0</v>
      </c>
      <c r="F36" s="1729"/>
      <c r="H36" s="97"/>
      <c r="I36" s="1660" t="s">
        <v>56</v>
      </c>
      <c r="J36" s="945"/>
      <c r="K36" s="945"/>
      <c r="L36" s="1617">
        <f>N26</f>
        <v>308970.831018376</v>
      </c>
      <c r="M36" s="945"/>
      <c r="N36" s="1588">
        <f>L36</f>
        <v>308970.831018376</v>
      </c>
      <c r="O36" s="945"/>
      <c r="P36" s="1589" t="s">
        <v>57</v>
      </c>
      <c r="Q36" s="1590"/>
      <c r="R36" s="1591"/>
      <c r="S36" s="1662" t="s">
        <v>56</v>
      </c>
      <c r="T36" s="1596"/>
      <c r="U36" s="1596"/>
      <c r="V36" s="1595">
        <f>X26</f>
        <v>36788.27</v>
      </c>
      <c r="W36" s="1596"/>
      <c r="X36" s="1595">
        <f>V36</f>
        <v>36788.27</v>
      </c>
      <c r="Y36" s="1596"/>
      <c r="Z36" s="1597" t="s">
        <v>57</v>
      </c>
      <c r="AA36" s="1598"/>
      <c r="AB36" s="1599"/>
      <c r="AC36" s="1665" t="s">
        <v>56</v>
      </c>
      <c r="AD36" s="1604"/>
      <c r="AE36" s="1604"/>
      <c r="AF36" s="1603">
        <f>AH26</f>
        <v>26158.99</v>
      </c>
      <c r="AG36" s="1604"/>
      <c r="AH36" s="1603"/>
      <c r="AI36" s="1604"/>
      <c r="AJ36" s="1605" t="s">
        <v>57</v>
      </c>
      <c r="AK36" s="1606"/>
      <c r="AL36" s="1599"/>
      <c r="AM36" s="1668" t="s">
        <v>56</v>
      </c>
      <c r="AN36" s="1611"/>
      <c r="AO36" s="1611"/>
      <c r="AP36" s="1610">
        <f>AR28</f>
        <v>0</v>
      </c>
      <c r="AQ36" s="1611"/>
      <c r="AR36" s="1610">
        <f>AP36</f>
        <v>0</v>
      </c>
      <c r="AS36" s="1611"/>
      <c r="AT36" s="1612" t="s">
        <v>57</v>
      </c>
      <c r="AU36" s="1668" t="s">
        <v>56</v>
      </c>
      <c r="AV36" s="1611"/>
      <c r="AW36" s="1611"/>
      <c r="AX36" s="1610">
        <f>AZ28</f>
        <v>-1344.72</v>
      </c>
      <c r="AY36" s="1611"/>
      <c r="AZ36" s="1610">
        <f>AX36</f>
        <v>-1344.72</v>
      </c>
      <c r="BA36" s="1611"/>
      <c r="BB36" s="1612" t="s">
        <v>57</v>
      </c>
    </row>
    <row r="37" ht="14.5" customHeight="1" spans="2:54">
      <c r="B37" s="1723"/>
      <c r="C37" s="1726" t="s">
        <v>58</v>
      </c>
      <c r="D37" s="1730">
        <f>'Owner Cost'!AB2+'Owner Cost'!T2</f>
        <v>19700.04</v>
      </c>
      <c r="E37" s="1732">
        <f>-'Shipmanagement RCVD'!G16</f>
        <v>20417.23</v>
      </c>
      <c r="F37" s="1729"/>
      <c r="H37" s="97"/>
      <c r="I37" s="1660" t="s">
        <v>59</v>
      </c>
      <c r="J37" s="945"/>
      <c r="K37" s="945"/>
      <c r="L37" s="1617"/>
      <c r="M37" s="945"/>
      <c r="N37" s="1588"/>
      <c r="O37" s="945"/>
      <c r="P37" s="1589">
        <v>2</v>
      </c>
      <c r="Q37" s="1590"/>
      <c r="R37" s="1591"/>
      <c r="S37" s="1662" t="s">
        <v>59</v>
      </c>
      <c r="T37" s="1596"/>
      <c r="U37" s="1596"/>
      <c r="V37" s="1595"/>
      <c r="W37" s="1596"/>
      <c r="X37" s="1595"/>
      <c r="Y37" s="1596"/>
      <c r="Z37" s="1597">
        <v>2</v>
      </c>
      <c r="AA37" s="1598"/>
      <c r="AB37" s="1599"/>
      <c r="AC37" s="1665" t="s">
        <v>59</v>
      </c>
      <c r="AD37" s="1604"/>
      <c r="AE37" s="1604"/>
      <c r="AF37" s="1603">
        <v>0</v>
      </c>
      <c r="AG37" s="1604"/>
      <c r="AH37" s="1603"/>
      <c r="AI37" s="1604"/>
      <c r="AJ37" s="1605">
        <v>2</v>
      </c>
      <c r="AK37" s="1606"/>
      <c r="AL37" s="1599"/>
      <c r="AM37" s="1668" t="s">
        <v>59</v>
      </c>
      <c r="AN37" s="1611"/>
      <c r="AO37" s="1611"/>
      <c r="AP37" s="1610">
        <v>0</v>
      </c>
      <c r="AQ37" s="1611"/>
      <c r="AR37" s="1610">
        <f>AP37</f>
        <v>0</v>
      </c>
      <c r="AS37" s="1611"/>
      <c r="AT37" s="1612">
        <v>2</v>
      </c>
      <c r="AU37" s="1668" t="s">
        <v>59</v>
      </c>
      <c r="AV37" s="1611"/>
      <c r="AW37" s="1611"/>
      <c r="AX37" s="1610">
        <v>0</v>
      </c>
      <c r="AY37" s="1611"/>
      <c r="AZ37" s="1610">
        <f>AX37</f>
        <v>0</v>
      </c>
      <c r="BA37" s="1611"/>
      <c r="BB37" s="1612">
        <v>2</v>
      </c>
    </row>
    <row r="38" ht="14.5" customHeight="1" spans="2:54">
      <c r="B38" s="1723"/>
      <c r="C38" s="1726" t="s">
        <v>60</v>
      </c>
      <c r="D38" s="1730">
        <f>'Take-Over Cost'!AB2+'Take-Over Cost'!T2</f>
        <v>12428.72</v>
      </c>
      <c r="E38" s="1732">
        <f>-'Shipmanagement RCVD'!G15</f>
        <v>13930.9</v>
      </c>
      <c r="F38" s="1729"/>
      <c r="H38" s="97"/>
      <c r="I38" s="1660" t="s">
        <v>61</v>
      </c>
      <c r="J38" s="945"/>
      <c r="K38" s="945"/>
      <c r="L38" s="1617">
        <f>N17</f>
        <v>317958.45</v>
      </c>
      <c r="M38" s="945"/>
      <c r="N38" s="1588">
        <f>L38</f>
        <v>317958.45</v>
      </c>
      <c r="O38" s="945"/>
      <c r="P38" s="1589">
        <v>2</v>
      </c>
      <c r="Q38" s="1590"/>
      <c r="R38" s="1591"/>
      <c r="S38" s="1662" t="s">
        <v>61</v>
      </c>
      <c r="T38" s="1596"/>
      <c r="U38" s="1596"/>
      <c r="V38" s="1664">
        <f>X17</f>
        <v>16371.04</v>
      </c>
      <c r="W38" s="1596"/>
      <c r="X38" s="1595">
        <f>V38</f>
        <v>16371.04</v>
      </c>
      <c r="Y38" s="1596"/>
      <c r="Z38" s="1597">
        <v>2</v>
      </c>
      <c r="AA38" s="1598"/>
      <c r="AB38" s="1599"/>
      <c r="AC38" s="1665" t="s">
        <v>61</v>
      </c>
      <c r="AD38" s="1604"/>
      <c r="AE38" s="1604"/>
      <c r="AF38" s="1667">
        <f>AH17</f>
        <v>12228.09</v>
      </c>
      <c r="AG38" s="1604"/>
      <c r="AH38" s="1603">
        <v>0</v>
      </c>
      <c r="AI38" s="1604"/>
      <c r="AJ38" s="1605">
        <v>2</v>
      </c>
      <c r="AK38" s="1606"/>
      <c r="AL38" s="1599"/>
      <c r="AM38" s="1668" t="s">
        <v>61</v>
      </c>
      <c r="AN38" s="1611"/>
      <c r="AO38" s="1611"/>
      <c r="AP38" s="1670">
        <v>0</v>
      </c>
      <c r="AQ38" s="1611"/>
      <c r="AR38" s="1610">
        <f>AP38</f>
        <v>0</v>
      </c>
      <c r="AS38" s="1611"/>
      <c r="AT38" s="1612">
        <v>2</v>
      </c>
      <c r="AU38" s="1668" t="s">
        <v>61</v>
      </c>
      <c r="AV38" s="1611"/>
      <c r="AW38" s="1611"/>
      <c r="AX38" s="1670">
        <v>0</v>
      </c>
      <c r="AY38" s="1611"/>
      <c r="AZ38" s="1610">
        <f>AX38</f>
        <v>0</v>
      </c>
      <c r="BA38" s="1611"/>
      <c r="BB38" s="1612">
        <v>2</v>
      </c>
    </row>
    <row r="39" ht="14.5" customHeight="1" spans="2:54">
      <c r="B39" s="1733"/>
      <c r="C39" s="1734" t="s">
        <v>62</v>
      </c>
      <c r="D39" s="1730">
        <f>'BMA Flag Change'!AC2+'BMA Flag Change'!T2</f>
        <v>26155.9</v>
      </c>
      <c r="E39" s="1735">
        <f>-'Shipmanagement RCVD'!G14</f>
        <v>1344.72</v>
      </c>
      <c r="F39" s="1736"/>
      <c r="H39" s="97"/>
      <c r="I39" s="1660"/>
      <c r="J39" s="945"/>
      <c r="K39" s="945"/>
      <c r="L39" s="1737"/>
      <c r="M39" s="945"/>
      <c r="N39" s="1738"/>
      <c r="O39" s="945"/>
      <c r="P39" s="1589"/>
      <c r="Q39" s="1590"/>
      <c r="R39" s="1591"/>
      <c r="S39" s="1662"/>
      <c r="T39" s="1596"/>
      <c r="U39" s="1596"/>
      <c r="V39" s="1739"/>
      <c r="W39" s="1596"/>
      <c r="X39" s="1739"/>
      <c r="Y39" s="1596"/>
      <c r="Z39" s="1597"/>
      <c r="AA39" s="1598"/>
      <c r="AB39" s="1599"/>
      <c r="AC39" s="1665"/>
      <c r="AD39" s="1604"/>
      <c r="AE39" s="1604"/>
      <c r="AF39" s="1740"/>
      <c r="AG39" s="1604"/>
      <c r="AH39" s="1740"/>
      <c r="AI39" s="1604"/>
      <c r="AJ39" s="1605"/>
      <c r="AK39" s="1606"/>
      <c r="AL39" s="1599"/>
      <c r="AM39" s="1668"/>
      <c r="AN39" s="1611"/>
      <c r="AO39" s="1611"/>
      <c r="AP39" s="1741"/>
      <c r="AQ39" s="1611"/>
      <c r="AR39" s="1741"/>
      <c r="AS39" s="1611"/>
      <c r="AT39" s="1612"/>
      <c r="AU39" s="1668"/>
      <c r="AV39" s="1611"/>
      <c r="AW39" s="1611"/>
      <c r="AX39" s="1741"/>
      <c r="AY39" s="1611"/>
      <c r="AZ39" s="1741"/>
      <c r="BA39" s="1611"/>
      <c r="BB39" s="1612"/>
    </row>
    <row r="40" ht="13.75" customHeight="1" spans="2:54">
      <c r="B40" s="1733"/>
      <c r="C40" s="1734" t="s">
        <v>63</v>
      </c>
      <c r="D40" s="1742">
        <f>'DD Cost'!AB2+'DD Cost'!S2</f>
        <v>0</v>
      </c>
      <c r="E40" s="1735">
        <f>'Shipmanagement RCVD'!M2</f>
        <v>0</v>
      </c>
      <c r="F40" s="1736"/>
      <c r="H40" s="97"/>
      <c r="I40" s="1743" t="s">
        <v>64</v>
      </c>
      <c r="J40" s="945"/>
      <c r="K40" s="945"/>
      <c r="L40" s="1589"/>
      <c r="M40" s="945"/>
      <c r="N40" s="1708">
        <f>N34-N36-N37+N38</f>
        <v>8987.61898162425</v>
      </c>
      <c r="O40" s="945"/>
      <c r="P40" s="1589"/>
      <c r="Q40" s="1590"/>
      <c r="R40" s="1591"/>
      <c r="S40" s="1744" t="s">
        <v>64</v>
      </c>
      <c r="T40" s="1596"/>
      <c r="U40" s="1596"/>
      <c r="V40" s="1596"/>
      <c r="W40" s="1596"/>
      <c r="X40" s="1710">
        <f>X38-X36</f>
        <v>-20417.23</v>
      </c>
      <c r="Y40" s="1596"/>
      <c r="Z40" s="1597"/>
      <c r="AA40" s="1598"/>
      <c r="AB40" s="1599"/>
      <c r="AC40" s="1745" t="s">
        <v>64</v>
      </c>
      <c r="AD40" s="1604"/>
      <c r="AE40" s="1604"/>
      <c r="AF40" s="1604"/>
      <c r="AG40" s="1604"/>
      <c r="AH40" s="1712">
        <f>AF38-AF36</f>
        <v>-13930.9</v>
      </c>
      <c r="AI40" s="1604"/>
      <c r="AJ40" s="1605"/>
      <c r="AK40" s="1606"/>
      <c r="AL40" s="1599"/>
      <c r="AM40" s="1746" t="s">
        <v>64</v>
      </c>
      <c r="AN40" s="1611"/>
      <c r="AO40" s="1611"/>
      <c r="AP40" s="1611"/>
      <c r="AQ40" s="1611"/>
      <c r="AR40" s="1714">
        <f>SUM(AR34:AR39)</f>
        <v>0</v>
      </c>
      <c r="AS40" s="1611"/>
      <c r="AT40" s="1612"/>
      <c r="AU40" s="1746" t="s">
        <v>64</v>
      </c>
      <c r="AV40" s="1611"/>
      <c r="AW40" s="1611"/>
      <c r="AX40" s="1611"/>
      <c r="AY40" s="1611"/>
      <c r="AZ40" s="1714">
        <f>SUM(AZ34:AZ39)</f>
        <v>-1344.72</v>
      </c>
      <c r="BA40" s="1611"/>
      <c r="BB40" s="1612"/>
    </row>
    <row r="41" ht="16" customHeight="1" spans="2:54">
      <c r="B41" s="1733"/>
      <c r="C41" s="1747" t="s">
        <v>65</v>
      </c>
      <c r="D41" s="1725">
        <f ca="1">D33-D34-D35-D36-D37-D38-D39-D40</f>
        <v>-2790.58199837597</v>
      </c>
      <c r="E41" s="1748"/>
      <c r="F41" s="1736"/>
      <c r="H41" s="103"/>
      <c r="I41" s="1749"/>
      <c r="J41" s="1750"/>
      <c r="K41" s="1750"/>
      <c r="L41" s="1751"/>
      <c r="M41" s="1750"/>
      <c r="N41" s="1752"/>
      <c r="O41" s="1750"/>
      <c r="P41" s="1751"/>
      <c r="Q41" s="1753"/>
      <c r="R41" s="1754"/>
      <c r="S41" s="1755"/>
      <c r="T41" s="1756"/>
      <c r="U41" s="1756"/>
      <c r="V41" s="1756"/>
      <c r="W41" s="1756"/>
      <c r="X41" s="1757">
        <f>X40-X28</f>
        <v>0</v>
      </c>
      <c r="Y41" s="1756"/>
      <c r="Z41" s="1758"/>
      <c r="AA41" s="1759"/>
      <c r="AB41" s="1760"/>
      <c r="AC41" s="1761"/>
      <c r="AD41" s="1762"/>
      <c r="AE41" s="1762"/>
      <c r="AF41" s="1762"/>
      <c r="AG41" s="1762"/>
      <c r="AH41" s="1763">
        <f>AH40-AH28</f>
        <v>0</v>
      </c>
      <c r="AI41" s="1762"/>
      <c r="AJ41" s="1764"/>
      <c r="AK41" s="1765"/>
      <c r="AL41" s="1760"/>
      <c r="AM41" s="1766"/>
      <c r="AN41" s="1767"/>
      <c r="AO41" s="1767"/>
      <c r="AP41" s="1767"/>
      <c r="AQ41" s="1767"/>
      <c r="AR41" s="1768">
        <f>AR40-AR28</f>
        <v>0</v>
      </c>
      <c r="AS41" s="1767"/>
      <c r="AT41" s="1769"/>
      <c r="AU41" s="1766"/>
      <c r="AV41" s="1767"/>
      <c r="AW41" s="1767"/>
      <c r="AX41" s="1767"/>
      <c r="AY41" s="1767"/>
      <c r="AZ41" s="1768">
        <f>AZ40-AZ28</f>
        <v>0</v>
      </c>
      <c r="BA41" s="1767"/>
      <c r="BB41" s="1769"/>
    </row>
    <row r="42" ht="13.75" spans="2:54">
      <c r="B42" s="1770"/>
      <c r="C42" s="1771" t="s">
        <v>66</v>
      </c>
      <c r="D42" s="1772" t="str">
        <f ca="1">IF(OR(D41&gt;1,D41&lt;-1),"账目没做平","账面做平")</f>
        <v>账目没做平</v>
      </c>
      <c r="E42" s="1772"/>
      <c r="F42" s="1773"/>
    </row>
    <row r="43" ht="13" customHeight="1" spans="2:54">
      <c r="D43" s="1774"/>
      <c r="AH43" s="319"/>
    </row>
    <row r="44" ht="13" customHeight="1" spans="2:54">
      <c r="C44" s="1775"/>
      <c r="D44" s="1776"/>
      <c r="E44" s="1777"/>
      <c r="I44" s="1778"/>
      <c r="J44" s="1779">
        <f>N26+X26+AH26+AZ26</f>
        <v>398259.751018376</v>
      </c>
      <c r="K44" s="1779"/>
      <c r="L44" s="1780"/>
      <c r="AH44" s="319"/>
      <c r="AZ44" s="319"/>
    </row>
    <row r="45" spans="2:54">
      <c r="C45" s="1775"/>
      <c r="D45" s="1776"/>
      <c r="I45" s="1778"/>
      <c r="J45" s="1781">
        <f>E16</f>
        <v>398259.751018376</v>
      </c>
      <c r="L45" s="1782"/>
      <c r="X45" s="1779"/>
      <c r="AH45" s="319"/>
      <c r="AZ45" s="319"/>
    </row>
    <row r="46" ht="13" customHeight="1" spans="2:54">
      <c r="C46" s="1775"/>
      <c r="D46" s="1783"/>
      <c r="E46" s="616"/>
      <c r="I46" s="1784"/>
      <c r="L46" s="1782"/>
      <c r="N46" s="1785"/>
      <c r="X46" s="319"/>
      <c r="AF46" s="1786"/>
    </row>
    <row r="47" ht="13" customHeight="1" spans="2:54">
      <c r="C47" s="1775"/>
      <c r="D47" s="887"/>
      <c r="E47" s="1787">
        <f>E25-'Bank Verification'!J9</f>
        <v>-56613.2310183757</v>
      </c>
      <c r="H47" s="70"/>
      <c r="I47" s="1788"/>
    </row>
    <row r="48" ht="13" customHeight="1" spans="2:54">
      <c r="D48" s="887"/>
      <c r="H48" s="70"/>
      <c r="I48" s="1789"/>
      <c r="J48" s="1790"/>
      <c r="N48" s="1791"/>
      <c r="S48" s="70"/>
    </row>
    <row r="49" spans="3:34">
      <c r="C49" s="465"/>
      <c r="D49" s="887"/>
      <c r="E49" s="887"/>
      <c r="I49" s="1788"/>
      <c r="J49" s="1779"/>
      <c r="AH49" s="319"/>
    </row>
    <row r="50" spans="3:34">
      <c r="C50" s="465"/>
      <c r="D50" s="466"/>
      <c r="J50" s="1792"/>
    </row>
    <row r="51" spans="3:34">
      <c r="C51" s="465"/>
      <c r="D51" s="1790"/>
    </row>
    <row r="52" spans="3:34">
      <c r="C52" s="465"/>
      <c r="D52" s="466"/>
      <c r="I52" s="1793"/>
    </row>
    <row r="53" ht="13" customHeight="1" spans="3:34">
      <c r="C53" s="1794"/>
      <c r="D53" s="887"/>
    </row>
    <row r="54" spans="3:34">
      <c r="D54" s="887"/>
      <c r="I54" s="1793"/>
    </row>
    <row r="55" spans="3:34">
      <c r="D55" s="887"/>
      <c r="E55" s="887"/>
      <c r="I55" s="1790"/>
    </row>
    <row r="56" ht="13" customHeight="1" spans="3:34">
      <c r="C56" s="1795"/>
      <c r="D56" s="887"/>
    </row>
    <row r="57" ht="13" customHeight="1" spans="3:34">
      <c r="C57" s="1794"/>
      <c r="D57" s="887"/>
    </row>
    <row r="59" spans="3:34">
      <c r="D59" s="887"/>
    </row>
    <row r="63" spans="3:34">
      <c r="D63" s="887"/>
    </row>
  </sheetData>
  <conditionalFormatting sqref="E21">
    <cfRule type="cellIs" dxfId="0" priority="1" stopIfTrue="1" operator="lessThan">
      <formula>1</formula>
    </cfRule>
  </conditionalFormatting>
  <conditionalFormatting sqref="E26">
    <cfRule type="cellIs" dxfId="0" priority="2" stopIfTrue="1" operator="lessThan">
      <formula>1</formula>
    </cfRule>
    <cfRule type="cellIs" dxfId="0" priority="3" stopIfTrue="1" operator="lessThan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33"/>
  <sheetViews>
    <sheetView zoomScale="85" zoomScaleNormal="85" workbookViewId="0">
      <selection activeCell="F10" sqref="F10"/>
    </sheetView>
  </sheetViews>
  <sheetFormatPr defaultColWidth="8.72727272727273" defaultRowHeight="12.5"/>
  <cols>
    <col min="1" max="1" width="0.727272727272727" customWidth="1"/>
    <col min="2" max="2" width="24.1818181818182" customWidth="1"/>
    <col min="3" max="3" width="13.5454545454545" customWidth="1"/>
    <col min="4" max="4" width="12.3636363636364" customWidth="1"/>
    <col min="5" max="5" width="11.7272727272727" customWidth="1"/>
    <col min="6" max="6" width="12.3636363636364" customWidth="1"/>
    <col min="7" max="7" width="10.6363636363636" customWidth="1"/>
    <col min="8" max="8" width="11.1818181818182" customWidth="1"/>
    <col min="9" max="9" width="13.5454545454545" customWidth="1"/>
    <col min="10" max="10" width="10.6363636363636" customWidth="1"/>
    <col min="11" max="11" width="11.1818181818182" customWidth="1"/>
    <col min="12" max="12" width="12.1818181818182" customWidth="1"/>
    <col min="13" max="13" width="2.81818181818182" customWidth="1"/>
    <col min="14" max="14" width="5.36363636363636" customWidth="1"/>
    <col min="15" max="17" width="7.27272727272727" customWidth="1"/>
    <col min="18" max="19" width="12.6363636363636" customWidth="1"/>
    <col min="20" max="20" width="9.18181818181818" customWidth="1"/>
    <col min="21" max="22" width="4.72727272727273" customWidth="1"/>
  </cols>
  <sheetData>
    <row r="1" ht="13.25" customHeight="1"/>
    <row r="2" ht="13" customHeight="1" spans="2:22">
      <c r="B2" s="1441" t="s">
        <v>67</v>
      </c>
      <c r="C2" s="1442" t="s">
        <v>68</v>
      </c>
      <c r="D2" s="1443" t="s">
        <v>69</v>
      </c>
      <c r="E2" s="1353"/>
      <c r="F2" s="1353"/>
      <c r="G2" s="1353"/>
      <c r="H2" s="1353"/>
      <c r="I2" s="1353"/>
      <c r="J2" s="1444" t="s">
        <v>70</v>
      </c>
      <c r="K2" s="1445" t="s">
        <v>71</v>
      </c>
      <c r="L2" s="1446" t="s">
        <v>71</v>
      </c>
      <c r="N2" s="1447" t="s">
        <v>72</v>
      </c>
      <c r="O2" s="1448" t="s">
        <v>73</v>
      </c>
      <c r="P2" s="1448" t="s">
        <v>74</v>
      </c>
      <c r="Q2" s="1449" t="s">
        <v>75</v>
      </c>
      <c r="R2" s="1447" t="s">
        <v>76</v>
      </c>
      <c r="S2" s="1448" t="s">
        <v>77</v>
      </c>
      <c r="T2" s="1448" t="s">
        <v>78</v>
      </c>
      <c r="U2" s="1448" t="s">
        <v>79</v>
      </c>
      <c r="V2" s="1450" t="s">
        <v>79</v>
      </c>
    </row>
    <row r="3" ht="13.75" customHeight="1" spans="2:22">
      <c r="B3" s="1451" t="s">
        <v>80</v>
      </c>
      <c r="C3" s="1452" t="s">
        <v>81</v>
      </c>
      <c r="D3" s="1453" t="s">
        <v>82</v>
      </c>
      <c r="E3" s="1454" t="s">
        <v>83</v>
      </c>
      <c r="F3" s="1455" t="s">
        <v>84</v>
      </c>
      <c r="G3" s="1455" t="s">
        <v>85</v>
      </c>
      <c r="H3" s="1455" t="s">
        <v>86</v>
      </c>
      <c r="I3" s="1455" t="s">
        <v>87</v>
      </c>
      <c r="J3" s="1456" t="s">
        <v>88</v>
      </c>
      <c r="K3" s="1457" t="s">
        <v>89</v>
      </c>
      <c r="L3" s="1458" t="s">
        <v>90</v>
      </c>
      <c r="N3" s="1459"/>
      <c r="O3" s="1460"/>
      <c r="P3" s="1461"/>
      <c r="Q3" s="1462"/>
      <c r="R3" s="1463"/>
      <c r="S3" s="1464"/>
      <c r="T3" s="1464"/>
      <c r="U3" s="1464"/>
      <c r="V3" s="1465"/>
    </row>
    <row r="4" ht="13.75" customHeight="1" spans="2:22">
      <c r="B4" s="1466"/>
      <c r="C4" s="1467"/>
      <c r="D4" s="1467"/>
      <c r="E4" s="1442"/>
      <c r="F4" s="1442"/>
      <c r="G4" s="1442"/>
      <c r="H4" s="1442"/>
      <c r="I4" s="1442"/>
      <c r="J4" s="1468"/>
      <c r="K4" s="1452"/>
      <c r="L4" s="1469"/>
      <c r="N4" s="1447" t="s">
        <v>72</v>
      </c>
      <c r="O4" s="1448" t="s">
        <v>73</v>
      </c>
      <c r="P4" s="1448" t="s">
        <v>74</v>
      </c>
      <c r="Q4" s="1449" t="s">
        <v>75</v>
      </c>
      <c r="R4" s="1447" t="s">
        <v>91</v>
      </c>
      <c r="S4" s="1470" t="s">
        <v>92</v>
      </c>
      <c r="T4" s="1448"/>
      <c r="U4" s="1448"/>
      <c r="V4" s="1450"/>
    </row>
    <row r="5" ht="13.75" customHeight="1" spans="2:22">
      <c r="B5" s="1471" t="s">
        <v>93</v>
      </c>
      <c r="C5" s="205">
        <f>C15+F15+I15+I18</f>
        <v>371554.52</v>
      </c>
      <c r="D5" s="1472"/>
      <c r="E5" s="1472"/>
      <c r="F5" s="1472"/>
      <c r="G5" s="1472"/>
      <c r="H5" s="1472"/>
      <c r="I5" s="1473">
        <f>'Shipmanagement RCVD'!I2+'Shipmanagement RCVD'!K2+'Shipmanagement RCVD'!J2+'Shipmanagement RCVD'!L2</f>
        <v>371554.52</v>
      </c>
      <c r="J5" s="1474">
        <f>'Shipmanagement RCVD'!O2</f>
        <v>40</v>
      </c>
      <c r="K5" s="1475"/>
      <c r="L5" s="1476"/>
      <c r="N5" s="1477"/>
      <c r="O5" s="317"/>
      <c r="P5" s="1478"/>
      <c r="Q5" s="1479"/>
      <c r="R5" s="1480"/>
      <c r="S5" s="1481"/>
      <c r="T5" s="317"/>
      <c r="U5" s="317"/>
      <c r="V5" s="318"/>
    </row>
    <row r="6" ht="13" customHeight="1" spans="2:22">
      <c r="B6" s="272" t="s">
        <v>94</v>
      </c>
      <c r="C6" s="207">
        <f>'Shipmanagement Cost'!AC2</f>
        <v>308970.831018376</v>
      </c>
      <c r="D6" s="1482">
        <f>'Shipmanagement Cost'!W2</f>
        <v>6868.04</v>
      </c>
      <c r="E6" s="1482">
        <f>'Shipmanagement Cost'!X2</f>
        <v>0</v>
      </c>
      <c r="F6" s="1482">
        <f>'Shipmanagement Cost'!Y2</f>
        <v>108730.19902</v>
      </c>
      <c r="G6" s="1482">
        <f>'Shipmanagement Cost'!Z2</f>
        <v>0</v>
      </c>
      <c r="H6" s="1482">
        <f>'Shipmanagement Cost'!AA2</f>
        <v>0</v>
      </c>
      <c r="I6" s="1483">
        <f>'Shipmanagement Cost'!AB2</f>
        <v>192452.061998376</v>
      </c>
      <c r="J6" s="1484">
        <f>'Shipmanagement Cost'!T2</f>
        <v>920.53</v>
      </c>
      <c r="K6" s="1485">
        <f>'Shipmanagement Cost'!N2</f>
        <v>0</v>
      </c>
      <c r="L6" s="1486">
        <f>'Shipmanagement Cost'!O2</f>
        <v>0</v>
      </c>
      <c r="N6" s="1487" t="s">
        <v>72</v>
      </c>
      <c r="O6" s="1488" t="s">
        <v>73</v>
      </c>
      <c r="P6" s="1488" t="s">
        <v>74</v>
      </c>
      <c r="Q6" s="1489" t="s">
        <v>75</v>
      </c>
      <c r="R6" s="1487" t="s">
        <v>91</v>
      </c>
      <c r="S6" s="1490"/>
      <c r="T6" s="1488"/>
      <c r="U6" s="1488"/>
      <c r="V6" s="1491"/>
    </row>
    <row r="7" ht="13.75" customHeight="1" spans="2:22">
      <c r="B7" s="272" t="s">
        <v>95</v>
      </c>
      <c r="C7" s="207">
        <f>'Owner Cost'!AC2</f>
        <v>36788.27</v>
      </c>
      <c r="D7" s="1482">
        <f>'Owner Cost'!W2</f>
        <v>0</v>
      </c>
      <c r="E7" s="1482">
        <f>'Owner Cost'!X2</f>
        <v>0</v>
      </c>
      <c r="F7" s="1482">
        <f>'Owner Cost'!Y2</f>
        <v>17088.23</v>
      </c>
      <c r="G7" s="1482">
        <f>'Owner Cost'!Z2</f>
        <v>0</v>
      </c>
      <c r="H7" s="1482">
        <f>'Owner Cost'!AA2</f>
        <v>0</v>
      </c>
      <c r="I7" s="1483">
        <f>'Owner Cost'!AB2</f>
        <v>19680.04</v>
      </c>
      <c r="J7" s="1484">
        <f>'Owner Cost'!T2</f>
        <v>20</v>
      </c>
      <c r="K7" s="1485">
        <f>'Owner Cost'!N2</f>
        <v>0</v>
      </c>
      <c r="L7" s="1486">
        <f>'Owner Cost'!O2</f>
        <v>0</v>
      </c>
      <c r="N7" s="1477"/>
      <c r="O7" s="317"/>
      <c r="P7" s="1478"/>
      <c r="Q7" s="1479"/>
      <c r="R7" s="1492"/>
      <c r="S7" s="1493"/>
      <c r="T7" s="317"/>
      <c r="U7" s="317"/>
      <c r="V7" s="318"/>
    </row>
    <row r="8" ht="13" customHeight="1" spans="2:22">
      <c r="B8" s="272" t="s">
        <v>96</v>
      </c>
      <c r="C8" s="207">
        <f>'Take-Over Cost'!AC2</f>
        <v>26158.99</v>
      </c>
      <c r="D8" s="1482">
        <f>'Take-Over Cost'!W2</f>
        <v>7546.85</v>
      </c>
      <c r="E8" s="1482">
        <f>'Take-Over Cost'!X2</f>
        <v>0</v>
      </c>
      <c r="F8" s="1482">
        <f>'Take-Over Cost'!Y2</f>
        <v>6183.42</v>
      </c>
      <c r="G8" s="1482">
        <f>'Take-Over Cost'!Z2</f>
        <v>0</v>
      </c>
      <c r="H8" s="1482">
        <f>'Take-Over Cost'!AA2</f>
        <v>0</v>
      </c>
      <c r="I8" s="1483">
        <f>'Take-Over Cost'!AB2</f>
        <v>12376.24</v>
      </c>
      <c r="J8" s="1484">
        <f>'Take-Over Cost'!T2</f>
        <v>52.48</v>
      </c>
      <c r="K8" s="1485">
        <f>'Take-Over Cost'!N2</f>
        <v>0</v>
      </c>
      <c r="L8" s="1486">
        <f>'Take-Over Cost'!O2</f>
        <v>0</v>
      </c>
      <c r="N8" s="1494"/>
      <c r="O8" s="1495"/>
      <c r="P8" s="1495"/>
      <c r="Q8" s="1496"/>
      <c r="R8" s="1496"/>
      <c r="S8" s="1496"/>
      <c r="T8" s="1495"/>
      <c r="U8" s="1495"/>
      <c r="V8" s="1497"/>
    </row>
    <row r="9" ht="13.75" customHeight="1" spans="2:22">
      <c r="B9" s="308" t="s">
        <v>97</v>
      </c>
      <c r="C9" s="309">
        <f>'BMA Flag Change'!AD2</f>
        <v>26341.66</v>
      </c>
      <c r="D9" s="1498">
        <f>'BMA Flag Change'!X2</f>
        <v>0</v>
      </c>
      <c r="E9" s="1498">
        <f>'BMA Flag Change'!Y2</f>
        <v>0</v>
      </c>
      <c r="F9" s="1498">
        <f>'BMA Flag Change'!Z2</f>
        <v>185.76</v>
      </c>
      <c r="G9" s="1498">
        <f>'BMA Flag Change'!AA2</f>
        <v>0</v>
      </c>
      <c r="H9" s="1498">
        <f>'BMA Flag Change'!AB2</f>
        <v>0</v>
      </c>
      <c r="I9" s="1499">
        <f>'BMA Flag Change'!AC2</f>
        <v>26095</v>
      </c>
      <c r="J9" s="1500">
        <f>'BMA Flag Change'!T2</f>
        <v>60.9</v>
      </c>
      <c r="K9" s="1501"/>
      <c r="L9" s="1502"/>
      <c r="N9" s="1503"/>
      <c r="O9" s="1504"/>
      <c r="P9" s="1504"/>
      <c r="Q9" s="1505"/>
      <c r="R9" s="1505"/>
      <c r="S9" s="1505"/>
      <c r="T9" s="1504"/>
      <c r="U9" s="1504"/>
      <c r="V9" s="1506"/>
    </row>
    <row r="10" ht="13.75" customHeight="1" spans="2:22">
      <c r="B10" s="1507" t="s">
        <v>98</v>
      </c>
      <c r="C10" s="1508">
        <f>'Expenses Lists'!AD2</f>
        <v>398259.751018376</v>
      </c>
      <c r="D10" s="1509">
        <f>'Expenses Lists'!X2</f>
        <v>14414.89</v>
      </c>
      <c r="E10" s="1510">
        <f>'Expenses Lists'!Y2</f>
        <v>0</v>
      </c>
      <c r="F10" s="1510">
        <f>'Expenses Lists'!Z2</f>
        <v>132187.60902</v>
      </c>
      <c r="G10" s="1510">
        <f>'Expenses Lists'!AA2</f>
        <v>0</v>
      </c>
      <c r="H10" s="1510">
        <f>'Expenses Lists'!AB2</f>
        <v>0</v>
      </c>
      <c r="I10" s="1511">
        <f>'Expenses Lists'!AC2</f>
        <v>250603.341998376</v>
      </c>
      <c r="J10" s="1512">
        <f>'Expenses Lists'!T2</f>
        <v>1053.91</v>
      </c>
      <c r="K10" s="1513">
        <f>'Expenses Lists'!N2</f>
        <v>0</v>
      </c>
      <c r="L10" s="1514">
        <f>'Expenses Lists'!O2</f>
        <v>0</v>
      </c>
      <c r="M10" s="1251"/>
    </row>
    <row r="11" ht="13.25" customHeight="1" spans="2:22">
      <c r="B11" s="1515" t="s">
        <v>99</v>
      </c>
      <c r="C11" s="1516" t="str">
        <f t="shared" ref="C11:L11" si="0">IF(AND((C10-C8-C6-C7-C9)&gt;-1,(C10-C8-C6-C7-C9)&lt;1),"账面持平",C10-C8-C6-C7-C9)</f>
        <v>账面持平</v>
      </c>
      <c r="D11" s="1517" t="str">
        <f t="shared" si="0"/>
        <v>账面持平</v>
      </c>
      <c r="E11" s="1517" t="str">
        <f t="shared" si="0"/>
        <v>账面持平</v>
      </c>
      <c r="F11" s="1516" t="str">
        <f t="shared" si="0"/>
        <v>账面持平</v>
      </c>
      <c r="G11" s="1517" t="str">
        <f t="shared" si="0"/>
        <v>账面持平</v>
      </c>
      <c r="H11" s="1517" t="str">
        <f t="shared" si="0"/>
        <v>账面持平</v>
      </c>
      <c r="I11" s="1517" t="str">
        <f t="shared" si="0"/>
        <v>账面持平</v>
      </c>
      <c r="J11" s="1516" t="str">
        <f t="shared" si="0"/>
        <v>账面持平</v>
      </c>
      <c r="K11" s="1517" t="str">
        <f t="shared" si="0"/>
        <v>账面持平</v>
      </c>
      <c r="L11" s="1518" t="str">
        <f t="shared" si="0"/>
        <v>账面持平</v>
      </c>
      <c r="M11" s="466"/>
    </row>
    <row r="12" ht="13.25" customHeight="1" spans="2:22">
      <c r="C12" s="466"/>
      <c r="D12" s="466"/>
      <c r="M12" s="466"/>
      <c r="N12" s="1251"/>
      <c r="O12" s="1251"/>
    </row>
    <row r="13" ht="13" customHeight="1" spans="2:22">
      <c r="B13" s="1519" t="s">
        <v>67</v>
      </c>
      <c r="C13" s="1520" t="s">
        <v>100</v>
      </c>
      <c r="D13" s="1353"/>
      <c r="E13" s="1353"/>
      <c r="F13" s="1521" t="s">
        <v>101</v>
      </c>
      <c r="G13" s="1353"/>
      <c r="H13" s="1353"/>
      <c r="I13" s="1522" t="s">
        <v>102</v>
      </c>
      <c r="J13" s="1353"/>
      <c r="K13" s="1362"/>
      <c r="L13" s="1523" t="s">
        <v>103</v>
      </c>
      <c r="M13" s="466"/>
      <c r="N13" s="466"/>
      <c r="O13" s="466"/>
    </row>
    <row r="14" ht="13.75" customHeight="1" spans="2:22">
      <c r="B14" s="1524" t="s">
        <v>104</v>
      </c>
      <c r="C14" s="1525" t="s">
        <v>105</v>
      </c>
      <c r="D14" s="1526" t="s">
        <v>106</v>
      </c>
      <c r="E14" s="1526" t="s">
        <v>107</v>
      </c>
      <c r="F14" s="1527" t="s">
        <v>105</v>
      </c>
      <c r="G14" s="1526" t="s">
        <v>106</v>
      </c>
      <c r="H14" s="1526" t="s">
        <v>107</v>
      </c>
      <c r="I14" s="1527" t="s">
        <v>105</v>
      </c>
      <c r="J14" s="1526" t="s">
        <v>106</v>
      </c>
      <c r="K14" s="1528" t="s">
        <v>107</v>
      </c>
      <c r="L14" s="1529" t="s">
        <v>108</v>
      </c>
      <c r="N14" s="466"/>
      <c r="O14" s="466"/>
    </row>
    <row r="15" ht="13.75" customHeight="1" spans="2:22">
      <c r="B15" s="1530">
        <f>C5-C10</f>
        <v>-26705.2310183757</v>
      </c>
      <c r="C15" s="1531">
        <f>'Shipmanagement RCVD'!I2</f>
        <v>317958.45</v>
      </c>
      <c r="D15" s="663">
        <f>'Shipmanagement Cost'!W2+'Shipmanagement Cost'!X2+'Shipmanagement Cost'!Y2+'Shipmanagement Cost'!Z2+'Shipmanagement Cost'!AA2+'Shipmanagement Cost'!AB2+'Shipmanagement Cost'!T2</f>
        <v>308970.831018376</v>
      </c>
      <c r="E15" s="1532">
        <f>C15-D15</f>
        <v>8987.61898162425</v>
      </c>
      <c r="F15" s="1531">
        <f>'Shipmanagement RCVD'!L2</f>
        <v>16371.04</v>
      </c>
      <c r="G15" s="663">
        <f>'Owner Cost'!W2+'Owner Cost'!X2+'Owner Cost'!Y2+'Owner Cost'!Z2+'Owner Cost'!AA2+'Owner Cost'!AB2+'Owner Cost'!T2</f>
        <v>36788.27</v>
      </c>
      <c r="H15" s="1533">
        <f>F15-G15</f>
        <v>-20417.23</v>
      </c>
      <c r="I15" s="1534">
        <f>'Shipmanagement RCVD'!J2</f>
        <v>12228.09</v>
      </c>
      <c r="J15" s="663">
        <f>'Take-Over Cost'!W2+'Take-Over Cost'!X2+'Take-Over Cost'!Y2+'Take-Over Cost'!Z2+'Take-Over Cost'!AA2+'Take-Over Cost'!AB2+'Take-Over Cost'!T2</f>
        <v>26158.99</v>
      </c>
      <c r="K15" s="1532">
        <f>I15-J15</f>
        <v>-13930.9</v>
      </c>
      <c r="L15" s="1535">
        <f>'Expenses Lists'!P2</f>
        <v>0</v>
      </c>
      <c r="M15" s="1536"/>
      <c r="N15" s="466"/>
    </row>
    <row r="16" ht="13" customHeight="1" spans="2:22">
      <c r="D16" s="465"/>
      <c r="E16" s="465"/>
      <c r="I16" s="1537" t="s">
        <v>109</v>
      </c>
      <c r="J16" s="1353"/>
      <c r="K16" s="1362"/>
      <c r="M16" s="319"/>
      <c r="O16" s="1536"/>
    </row>
    <row r="17" ht="13.75" customHeight="1" spans="3:15">
      <c r="C17" s="466"/>
      <c r="D17" s="465"/>
      <c r="E17" s="465"/>
      <c r="I17" s="1538" t="s">
        <v>105</v>
      </c>
      <c r="J17" s="1539" t="s">
        <v>106</v>
      </c>
      <c r="K17" s="1540" t="s">
        <v>107</v>
      </c>
      <c r="M17" s="1536"/>
      <c r="N17" s="1536"/>
      <c r="O17" s="319"/>
    </row>
    <row r="18" ht="13.75" customHeight="1" spans="3:15">
      <c r="C18" s="466"/>
      <c r="I18" s="1541">
        <f>'Shipmanagement RCVD'!K2</f>
        <v>24996.94</v>
      </c>
      <c r="J18" s="1542">
        <f>'BMA Flag Change'!X2+'BMA Flag Change'!Y2+'BMA Flag Change'!Z2+'BMA Flag Change'!AA2+'BMA Flag Change'!AB2+'BMA Flag Change'!AC2+'BMA Flag Change'!T2</f>
        <v>26341.66</v>
      </c>
      <c r="K18" s="1543">
        <f>I18-J18</f>
        <v>-1344.72</v>
      </c>
      <c r="L18" s="319"/>
      <c r="M18" s="319"/>
      <c r="N18" s="319"/>
      <c r="O18" s="1536"/>
    </row>
    <row r="19" spans="3:15">
      <c r="D19" s="466"/>
      <c r="H19" s="466"/>
      <c r="M19" s="1536"/>
      <c r="N19" s="1536"/>
      <c r="O19" s="319"/>
    </row>
    <row r="20" spans="3:15">
      <c r="D20" s="1536"/>
      <c r="I20" s="466"/>
      <c r="M20" s="466"/>
      <c r="N20" s="319"/>
      <c r="O20" s="1536"/>
    </row>
    <row r="21" spans="3:15">
      <c r="E21" s="466"/>
      <c r="F21" s="466"/>
      <c r="K21" s="319"/>
      <c r="N21" s="1536"/>
      <c r="O21" s="466"/>
    </row>
    <row r="22" spans="3:15">
      <c r="D22" s="466"/>
      <c r="F22" s="466"/>
      <c r="G22" s="466"/>
      <c r="N22" s="466"/>
    </row>
    <row r="23" spans="3:15">
      <c r="D23" s="466"/>
    </row>
    <row r="25" spans="3:15">
      <c r="F25" s="466"/>
    </row>
    <row r="33" spans="5:5">
      <c r="E33" s="466"/>
    </row>
  </sheetData>
  <mergeCells count="5">
    <mergeCell ref="D2:I2"/>
    <mergeCell ref="C13:E13"/>
    <mergeCell ref="F13:H13"/>
    <mergeCell ref="I13:K13"/>
    <mergeCell ref="I16:K16"/>
  </mergeCells>
  <conditionalFormatting sqref="B11:L11">
    <cfRule type="cellIs" dxfId="0" priority="2" stopIfTrue="1" operator="equal">
      <formula>$C$11+$F$11&lt;&gt;0</formula>
    </cfRule>
    <cfRule type="cellIs" dxfId="1" priority="3" stopIfTrue="1" operator="equal">
      <formula>$C$11+$F$11=0</formula>
    </cfRule>
  </conditionalFormatting>
  <conditionalFormatting sqref="C11:L11">
    <cfRule type="containsText" dxfId="2" priority="1" stopIfTrue="1" operator="between" text="账面持平">
      <formula>NOT(ISERROR(SEARCH("账面持平",C11)))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1"/>
  <sheetViews>
    <sheetView zoomScale="70" zoomScaleNormal="70" workbookViewId="0">
      <selection activeCell="H18" sqref="H18"/>
    </sheetView>
  </sheetViews>
  <sheetFormatPr defaultColWidth="8.72727272727273" defaultRowHeight="12.5"/>
  <cols>
    <col min="1" max="1" width="2.72727272727273" customWidth="1"/>
    <col min="2" max="2" width="14.9090909090909" customWidth="1"/>
    <col min="3" max="3" width="11.3636363636364" customWidth="1"/>
    <col min="4" max="4" width="9.18181818181818" customWidth="1"/>
    <col min="5" max="5" width="19.3636363636364" customWidth="1"/>
    <col min="6" max="6" width="10.9090909090909" customWidth="1"/>
    <col min="7" max="7" width="12.4545454545455" customWidth="1"/>
    <col min="8" max="8" width="14.9090909090909" customWidth="1"/>
    <col min="9" max="9" width="36.4545454545455" customWidth="1"/>
    <col min="10" max="10" width="16" customWidth="1"/>
    <col min="11" max="11" width="22.5454545454545" customWidth="1"/>
    <col min="12" max="12" width="16.3636363636364" customWidth="1"/>
    <col min="13" max="13" width="12.8181818181818" customWidth="1"/>
    <col min="14" max="14" width="13.0909090909091" customWidth="1"/>
    <col min="15" max="15" width="13.7272727272727" customWidth="1"/>
    <col min="16" max="16" width="12.5454545454545" customWidth="1"/>
    <col min="17" max="17" width="14.9090909090909" customWidth="1"/>
  </cols>
  <sheetData>
    <row r="1" ht="15.25" customHeight="1" spans="2:14">
      <c r="G1" s="1329"/>
      <c r="H1" s="1329"/>
      <c r="I1" s="1330"/>
      <c r="J1" s="1331"/>
      <c r="K1" s="1331"/>
      <c r="L1" s="1331"/>
    </row>
    <row r="2" ht="15.5" customHeight="1" spans="2:14">
      <c r="D2" s="1332" t="s">
        <v>110</v>
      </c>
      <c r="E2" s="1333">
        <v>7982933945</v>
      </c>
      <c r="F2" s="1334" t="s">
        <v>111</v>
      </c>
      <c r="G2" s="1329"/>
      <c r="H2" s="1329"/>
      <c r="I2" s="1330"/>
      <c r="J2" s="1335"/>
      <c r="K2" s="1335"/>
      <c r="L2" s="1335"/>
    </row>
    <row r="3" ht="16.25" customHeight="1" spans="2:14">
      <c r="D3" s="1336" t="s">
        <v>112</v>
      </c>
      <c r="E3" s="1337">
        <v>7982933945</v>
      </c>
      <c r="F3" s="1338" t="s">
        <v>113</v>
      </c>
      <c r="G3" s="1329"/>
      <c r="H3" s="1329"/>
      <c r="I3" s="1330"/>
      <c r="J3" s="1335"/>
      <c r="K3" s="1335"/>
      <c r="L3" s="1335"/>
    </row>
    <row r="4" ht="16.25" customHeight="1" spans="2:14">
      <c r="D4" s="1339" t="s">
        <v>114</v>
      </c>
      <c r="E4" s="1340">
        <v>7982933945</v>
      </c>
      <c r="F4" s="1341" t="s">
        <v>115</v>
      </c>
      <c r="G4" s="1329"/>
      <c r="H4" s="1329"/>
      <c r="I4" s="1342"/>
      <c r="J4" s="1343"/>
      <c r="K4" s="1343"/>
      <c r="L4" s="1344" t="s">
        <v>116</v>
      </c>
      <c r="M4" s="1345" t="s">
        <v>117</v>
      </c>
      <c r="N4" s="1345" t="s">
        <v>72</v>
      </c>
    </row>
    <row r="5" ht="15.25" customHeight="1" spans="2:14">
      <c r="H5" s="1346"/>
      <c r="I5" s="1347"/>
      <c r="J5" s="1343"/>
      <c r="K5" s="1343"/>
      <c r="L5" s="1348" t="s">
        <v>118</v>
      </c>
      <c r="M5" s="1349"/>
      <c r="N5" s="1350"/>
    </row>
    <row r="6" ht="15.25" customHeight="1" spans="2:14">
      <c r="B6" s="1351">
        <f ca="1">TODAY()</f>
        <v>46309</v>
      </c>
      <c r="C6" s="1352" t="s">
        <v>119</v>
      </c>
      <c r="D6" s="1353"/>
      <c r="E6" s="1353"/>
      <c r="F6" s="1353"/>
      <c r="G6" s="1353"/>
      <c r="H6" s="1353"/>
      <c r="I6" s="1354" t="s">
        <v>120</v>
      </c>
      <c r="J6" s="1355">
        <f ca="1">TODAY()</f>
        <v>46309</v>
      </c>
      <c r="K6" s="1356"/>
      <c r="L6" s="1357" t="s">
        <v>121</v>
      </c>
      <c r="M6" s="1358">
        <f ca="1">J11</f>
        <v>92779.85</v>
      </c>
      <c r="N6" s="1350"/>
    </row>
    <row r="7" ht="15.25" customHeight="1" spans="2:14">
      <c r="B7" s="1359" t="s">
        <v>121</v>
      </c>
      <c r="C7" s="1360"/>
      <c r="D7" s="1361" t="s">
        <v>122</v>
      </c>
      <c r="E7" s="1353"/>
      <c r="F7" s="1353"/>
      <c r="G7" s="1353"/>
      <c r="H7" s="1362"/>
      <c r="I7" s="1363" t="s">
        <v>123</v>
      </c>
      <c r="J7" s="1364">
        <f>SUM(C9:G9)</f>
        <v>146602.49902</v>
      </c>
      <c r="K7" s="1365"/>
      <c r="L7" s="1366" t="s">
        <v>124</v>
      </c>
      <c r="M7" s="1367"/>
      <c r="N7" s="1368"/>
    </row>
    <row r="8" ht="15.25" customHeight="1" spans="2:14">
      <c r="B8" s="1369" t="s">
        <v>125</v>
      </c>
      <c r="C8" s="1370" t="s">
        <v>82</v>
      </c>
      <c r="D8" s="1371" t="s">
        <v>83</v>
      </c>
      <c r="E8" s="1372" t="s">
        <v>84</v>
      </c>
      <c r="F8" s="1372" t="s">
        <v>85</v>
      </c>
      <c r="G8" s="1372" t="s">
        <v>86</v>
      </c>
      <c r="H8" s="1373" t="s">
        <v>87</v>
      </c>
      <c r="I8" s="1374" t="s">
        <v>126</v>
      </c>
      <c r="J8" s="1375">
        <f>'Cost Checking'!L15+'Cost Checking'!L10</f>
        <v>0</v>
      </c>
      <c r="K8" s="1376"/>
      <c r="L8" s="1366" t="s">
        <v>127</v>
      </c>
      <c r="M8" s="1367"/>
      <c r="N8" s="1368"/>
    </row>
    <row r="9" ht="15.25" customHeight="1" spans="2:14">
      <c r="B9" s="1377">
        <f>'Cost Checking'!C7+'Cost Checking'!C6+'Cost Checking'!C8+'Cost Checking'!C9</f>
        <v>398259.751018376</v>
      </c>
      <c r="C9" s="1378">
        <f>'Cost Checking'!D6+'Cost Checking'!D7+'Cost Checking'!D8+'Cost Checking'!D9</f>
        <v>14414.89</v>
      </c>
      <c r="D9" s="1379">
        <f>'Cost Checking'!E6+'Cost Checking'!E7+'Cost Checking'!E8+'Cost Checking'!E9</f>
        <v>0</v>
      </c>
      <c r="E9" s="1379">
        <f>'Cost Checking'!F6+'Cost Checking'!F7+'Cost Checking'!F8+'Cost Checking'!F9</f>
        <v>132187.60902</v>
      </c>
      <c r="F9" s="1379">
        <f>'Cost Checking'!G6+'Cost Checking'!G7+'Cost Checking'!G8+'Cost Checking'!G9</f>
        <v>0</v>
      </c>
      <c r="G9" s="1379">
        <f>'Cost Checking'!H6+'Cost Checking'!H7+'Cost Checking'!H8+'Cost Checking'!H9</f>
        <v>0</v>
      </c>
      <c r="H9" s="1380">
        <f>'Cost Checking'!I6+'Cost Checking'!I7+'Cost Checking'!I8+'Cost Checking'!I9</f>
        <v>250603.341998376</v>
      </c>
      <c r="I9" s="1381" t="s">
        <v>128</v>
      </c>
      <c r="J9" s="1382">
        <f>'CTM Expenses List'!AA2</f>
        <v>29908</v>
      </c>
      <c r="K9" s="1383"/>
      <c r="L9" s="1384" t="s">
        <v>129</v>
      </c>
      <c r="M9" s="1385">
        <f ca="1">SUM(M5:M8)</f>
        <v>92779.85</v>
      </c>
      <c r="N9" s="1386"/>
    </row>
    <row r="10" ht="15.25" customHeight="1" spans="2:14">
      <c r="B10" s="1387" t="s">
        <v>130</v>
      </c>
      <c r="C10" s="1353"/>
      <c r="D10" s="1353"/>
      <c r="E10" s="1353"/>
      <c r="F10" s="1353"/>
      <c r="G10" s="1353"/>
      <c r="H10" s="1388" t="s">
        <v>131</v>
      </c>
      <c r="I10" s="1389" t="s">
        <v>132</v>
      </c>
      <c r="J10" s="1390">
        <f ca="1">J11+J9-J7</f>
        <v>-23914.64902</v>
      </c>
      <c r="K10" s="1383"/>
      <c r="L10" s="1391" t="s">
        <v>133</v>
      </c>
      <c r="M10" s="1392"/>
      <c r="N10" s="1386"/>
    </row>
    <row r="11" ht="15.25" customHeight="1" spans="2:14">
      <c r="B11" s="1393" t="s">
        <v>134</v>
      </c>
      <c r="C11" s="1394" t="s">
        <v>72</v>
      </c>
      <c r="D11" s="1394" t="s">
        <v>135</v>
      </c>
      <c r="E11" s="1394" t="s">
        <v>136</v>
      </c>
      <c r="F11" s="1394" t="s">
        <v>137</v>
      </c>
      <c r="G11" s="1394" t="s">
        <v>138</v>
      </c>
      <c r="H11" s="1395">
        <f>SUM(H12:H1110)</f>
        <v>1133.91</v>
      </c>
      <c r="I11" s="1396" t="s">
        <v>139</v>
      </c>
      <c r="J11" s="1397" cm="1">
        <f ca="1" t="array" ref="J11">INDEX(J:J,MIN(IF(J12:J35&lt;&gt;"",ROW(J12:J35))))</f>
        <v>92779.85</v>
      </c>
      <c r="K11" s="1398" t="s">
        <v>140</v>
      </c>
      <c r="L11" s="1399" t="s">
        <v>141</v>
      </c>
      <c r="M11" s="1400">
        <f ca="1">M9-M10</f>
        <v>92779.85</v>
      </c>
      <c r="N11" s="1401"/>
    </row>
    <row r="12" ht="15.5" customHeight="1" spans="2:14">
      <c r="B12" s="1402"/>
      <c r="C12" s="1403"/>
      <c r="D12" s="1404"/>
      <c r="E12" s="1405"/>
      <c r="F12" s="338"/>
      <c r="G12" s="1406"/>
      <c r="H12" s="338"/>
      <c r="I12" s="338"/>
      <c r="J12" s="1407"/>
      <c r="K12" s="1408"/>
    </row>
    <row r="13" ht="15.5" customHeight="1" spans="2:14">
      <c r="B13" s="1409"/>
      <c r="C13" s="1410"/>
      <c r="D13" s="1411"/>
      <c r="E13" s="1412"/>
      <c r="F13" s="1413"/>
      <c r="G13" s="1414"/>
      <c r="H13" s="1413"/>
      <c r="I13" s="1415"/>
      <c r="J13" s="1416"/>
      <c r="K13" s="1417"/>
    </row>
    <row r="14" ht="15.5" customHeight="1" spans="2:14">
      <c r="B14" s="1409">
        <v>22</v>
      </c>
      <c r="C14" s="1410">
        <v>46300</v>
      </c>
      <c r="D14" s="1411" t="s">
        <v>110</v>
      </c>
      <c r="E14" s="1412">
        <v>7982933945</v>
      </c>
      <c r="F14" s="1418" t="s">
        <v>111</v>
      </c>
      <c r="G14" s="1414">
        <v>9598.45</v>
      </c>
      <c r="H14" s="1276">
        <v>0</v>
      </c>
      <c r="I14" s="1415">
        <f>G14+H14</f>
        <v>9598.45</v>
      </c>
      <c r="J14" s="1416">
        <f t="shared" ref="J13:J18" si="0">IF(F14="入账",(J15+I14),(J15-I14))</f>
        <v>92779.85</v>
      </c>
      <c r="K14" s="1419" t="s">
        <v>142</v>
      </c>
    </row>
    <row r="15" ht="15.5" customHeight="1" spans="2:14">
      <c r="B15" s="1409">
        <v>21</v>
      </c>
      <c r="C15" s="1410">
        <v>46293</v>
      </c>
      <c r="D15" s="1411" t="s">
        <v>110</v>
      </c>
      <c r="E15" s="1412">
        <v>7982933945</v>
      </c>
      <c r="F15" s="1418" t="s">
        <v>111</v>
      </c>
      <c r="G15" s="1414">
        <v>9500</v>
      </c>
      <c r="H15" s="1276">
        <v>20</v>
      </c>
      <c r="I15" s="1415">
        <f>G15+H15</f>
        <v>9520</v>
      </c>
      <c r="J15" s="1416">
        <f t="shared" si="0"/>
        <v>83181.4</v>
      </c>
      <c r="K15" s="1420" t="s">
        <v>143</v>
      </c>
    </row>
    <row r="16" ht="15.5" customHeight="1" spans="2:14">
      <c r="B16" s="1409">
        <v>20</v>
      </c>
      <c r="C16" s="1410">
        <v>46295</v>
      </c>
      <c r="D16" s="1411" t="s">
        <v>110</v>
      </c>
      <c r="E16" s="1412">
        <v>7982933945</v>
      </c>
      <c r="F16" s="1418" t="s">
        <v>113</v>
      </c>
      <c r="G16" s="1414">
        <v>2600</v>
      </c>
      <c r="H16" s="1276">
        <v>20</v>
      </c>
      <c r="I16" s="1415">
        <f t="shared" ref="I16:I21" si="1">G16+H16</f>
        <v>2620</v>
      </c>
      <c r="J16" s="1416">
        <f t="shared" si="0"/>
        <v>73661.4</v>
      </c>
      <c r="K16" s="1421" t="s">
        <v>118</v>
      </c>
    </row>
    <row r="17" ht="15.5" customHeight="1" spans="2:13">
      <c r="B17" s="1409">
        <v>19</v>
      </c>
      <c r="C17" s="1410">
        <v>46295</v>
      </c>
      <c r="D17" s="1411" t="s">
        <v>110</v>
      </c>
      <c r="E17" s="1412">
        <v>7982933945</v>
      </c>
      <c r="F17" s="1418" t="s">
        <v>113</v>
      </c>
      <c r="G17" s="1414">
        <v>30000</v>
      </c>
      <c r="H17" s="1422">
        <v>120</v>
      </c>
      <c r="I17" s="1415">
        <f t="shared" si="1"/>
        <v>30120</v>
      </c>
      <c r="J17" s="1416">
        <f t="shared" si="0"/>
        <v>76281.4</v>
      </c>
      <c r="K17" s="1421" t="s">
        <v>142</v>
      </c>
    </row>
    <row r="18" ht="15.5" customHeight="1" spans="2:13">
      <c r="B18" s="1409">
        <v>18</v>
      </c>
      <c r="C18" s="1410">
        <v>46293</v>
      </c>
      <c r="D18" s="1411" t="s">
        <v>110</v>
      </c>
      <c r="E18" s="1412">
        <v>7982933945</v>
      </c>
      <c r="F18" s="1418" t="s">
        <v>113</v>
      </c>
      <c r="G18" s="1414">
        <v>1660</v>
      </c>
      <c r="H18" s="1422">
        <v>20</v>
      </c>
      <c r="I18" s="1415">
        <f t="shared" si="1"/>
        <v>1680</v>
      </c>
      <c r="J18" s="1416">
        <f t="shared" si="0"/>
        <v>106401.4</v>
      </c>
      <c r="K18" s="1421" t="s">
        <v>142</v>
      </c>
    </row>
    <row r="19" ht="15.5" customHeight="1" spans="2:13">
      <c r="B19" s="1409">
        <v>17</v>
      </c>
      <c r="C19" s="1410">
        <v>46293</v>
      </c>
      <c r="D19" s="1411" t="s">
        <v>110</v>
      </c>
      <c r="E19" s="1412">
        <v>7982933945</v>
      </c>
      <c r="F19" s="1418" t="s">
        <v>113</v>
      </c>
      <c r="G19" s="1414">
        <v>9500</v>
      </c>
      <c r="H19" s="1422">
        <v>20</v>
      </c>
      <c r="I19" s="1415">
        <f t="shared" si="1"/>
        <v>9520</v>
      </c>
      <c r="J19" s="1416">
        <f t="shared" ref="J19:J24" si="2">IF(F19="入账",(J20+I19),(J20-I19))</f>
        <v>108081.4</v>
      </c>
      <c r="K19" s="1421" t="s">
        <v>142</v>
      </c>
      <c r="L19" s="466"/>
    </row>
    <row r="20" ht="15.5" customHeight="1" spans="2:13">
      <c r="B20" s="1409">
        <v>16</v>
      </c>
      <c r="C20" s="1410">
        <v>46289</v>
      </c>
      <c r="D20" s="1411" t="s">
        <v>110</v>
      </c>
      <c r="E20" s="1412">
        <v>7982933945</v>
      </c>
      <c r="F20" s="1418" t="s">
        <v>113</v>
      </c>
      <c r="G20" s="1414">
        <v>4271.4</v>
      </c>
      <c r="H20" s="1422">
        <v>20</v>
      </c>
      <c r="I20" s="1415">
        <f t="shared" si="1"/>
        <v>4291.4</v>
      </c>
      <c r="J20" s="1416">
        <f t="shared" si="2"/>
        <v>117601.4</v>
      </c>
      <c r="K20" s="1421" t="s">
        <v>142</v>
      </c>
    </row>
    <row r="21" ht="15.5" customHeight="1" spans="2:13">
      <c r="B21" s="1409">
        <v>15</v>
      </c>
      <c r="C21" s="1423">
        <v>46287</v>
      </c>
      <c r="D21" s="1411" t="s">
        <v>110</v>
      </c>
      <c r="E21" s="1412">
        <v>7982933945</v>
      </c>
      <c r="F21" s="1418" t="s">
        <v>113</v>
      </c>
      <c r="G21" s="1414">
        <v>1350</v>
      </c>
      <c r="H21" s="1422">
        <v>20</v>
      </c>
      <c r="I21" s="1415">
        <f t="shared" si="1"/>
        <v>1370</v>
      </c>
      <c r="J21" s="1416">
        <f t="shared" si="2"/>
        <v>121892.8</v>
      </c>
      <c r="K21" s="1421" t="s">
        <v>142</v>
      </c>
    </row>
    <row r="22" ht="15.5" customHeight="1" spans="2:13">
      <c r="B22" s="1409">
        <v>14</v>
      </c>
      <c r="C22" s="1423">
        <v>46279</v>
      </c>
      <c r="D22" s="1424" t="s">
        <v>110</v>
      </c>
      <c r="E22" s="1412">
        <v>7982933945</v>
      </c>
      <c r="F22" s="1418" t="s">
        <v>113</v>
      </c>
      <c r="G22" s="1415">
        <v>30000</v>
      </c>
      <c r="H22" s="1422">
        <v>120</v>
      </c>
      <c r="I22" s="1415">
        <v>30120</v>
      </c>
      <c r="J22" s="1416">
        <f t="shared" si="2"/>
        <v>123262.8</v>
      </c>
      <c r="K22" s="1421" t="s">
        <v>142</v>
      </c>
    </row>
    <row r="23" ht="15.5" customHeight="1" spans="2:13">
      <c r="B23" s="1409">
        <v>13</v>
      </c>
      <c r="C23" s="1423">
        <v>46276</v>
      </c>
      <c r="D23" s="1424" t="s">
        <v>110</v>
      </c>
      <c r="E23" s="1412">
        <v>7982933945</v>
      </c>
      <c r="F23" s="1418" t="s">
        <v>113</v>
      </c>
      <c r="G23" s="1415">
        <v>85263.12</v>
      </c>
      <c r="H23" s="1422">
        <v>170.53</v>
      </c>
      <c r="I23" s="1415">
        <v>85433.65</v>
      </c>
      <c r="J23" s="1416">
        <f t="shared" si="2"/>
        <v>153382.8</v>
      </c>
      <c r="K23" s="1421" t="s">
        <v>142</v>
      </c>
    </row>
    <row r="24" ht="15.5" customHeight="1" spans="2:13">
      <c r="B24" s="1409">
        <v>12</v>
      </c>
      <c r="C24" s="1423">
        <v>46275</v>
      </c>
      <c r="D24" s="1424" t="s">
        <v>110</v>
      </c>
      <c r="E24" s="1412">
        <v>7982933945</v>
      </c>
      <c r="F24" s="1418" t="s">
        <v>111</v>
      </c>
      <c r="G24" s="1415">
        <v>202246.07</v>
      </c>
      <c r="H24" s="1422">
        <v>20</v>
      </c>
      <c r="I24" s="1415">
        <v>202226.07</v>
      </c>
      <c r="J24" s="1416">
        <f t="shared" si="2"/>
        <v>238816.45</v>
      </c>
      <c r="K24" s="1421" t="s">
        <v>142</v>
      </c>
      <c r="L24" s="466"/>
    </row>
    <row r="25" ht="15.5" customHeight="1" spans="2:13">
      <c r="B25" s="1409">
        <v>11</v>
      </c>
      <c r="C25" s="1423">
        <v>46273</v>
      </c>
      <c r="D25" s="1424" t="s">
        <v>110</v>
      </c>
      <c r="E25" s="1412">
        <v>7982933945</v>
      </c>
      <c r="F25" s="1418" t="s">
        <v>113</v>
      </c>
      <c r="G25" s="1415">
        <v>50000</v>
      </c>
      <c r="H25" s="1422">
        <v>200</v>
      </c>
      <c r="I25" s="1276">
        <f t="shared" ref="I25:I32" si="3">G25+H25</f>
        <v>50200</v>
      </c>
      <c r="J25" s="1416">
        <f t="shared" ref="J25:J34" si="4">IF(F25="入账",(J26+I25),(J26-I25))</f>
        <v>36590.38</v>
      </c>
      <c r="K25" s="1421" t="s">
        <v>142</v>
      </c>
      <c r="L25" s="466"/>
    </row>
    <row r="26" ht="15.5" customHeight="1" spans="2:13">
      <c r="B26" s="1425">
        <v>10</v>
      </c>
      <c r="C26" s="1426">
        <v>46268</v>
      </c>
      <c r="D26" s="1427" t="s">
        <v>110</v>
      </c>
      <c r="E26" s="1428">
        <v>7982933945</v>
      </c>
      <c r="F26" s="1274" t="s">
        <v>113</v>
      </c>
      <c r="G26" s="1429">
        <v>8121.24</v>
      </c>
      <c r="H26" s="1276">
        <v>32.48</v>
      </c>
      <c r="I26" s="1276">
        <f t="shared" si="3"/>
        <v>8153.72</v>
      </c>
      <c r="J26" s="1416">
        <f t="shared" si="4"/>
        <v>86790.38</v>
      </c>
      <c r="K26" s="1421" t="s">
        <v>142</v>
      </c>
      <c r="L26" s="319"/>
    </row>
    <row r="27" ht="15.5" customHeight="1" spans="2:13">
      <c r="B27" s="1425">
        <v>9</v>
      </c>
      <c r="C27" s="1426">
        <v>46265</v>
      </c>
      <c r="D27" s="1427" t="s">
        <v>110</v>
      </c>
      <c r="E27" s="1428">
        <v>7982933945</v>
      </c>
      <c r="F27" s="1274" t="s">
        <v>113</v>
      </c>
      <c r="G27" s="1429">
        <v>45000</v>
      </c>
      <c r="H27" s="1276">
        <v>180</v>
      </c>
      <c r="I27" s="1276">
        <f t="shared" si="3"/>
        <v>45180</v>
      </c>
      <c r="J27" s="1416">
        <f t="shared" si="4"/>
        <v>94944.1</v>
      </c>
      <c r="K27" s="1421" t="s">
        <v>142</v>
      </c>
      <c r="L27" s="616"/>
      <c r="M27" s="466"/>
    </row>
    <row r="28" ht="15.5" customHeight="1" spans="2:13">
      <c r="B28" s="1425">
        <v>8</v>
      </c>
      <c r="C28" s="1426">
        <v>46265</v>
      </c>
      <c r="D28" s="1427" t="s">
        <v>110</v>
      </c>
      <c r="E28" s="1428">
        <v>7982933945</v>
      </c>
      <c r="F28" s="1274" t="s">
        <v>113</v>
      </c>
      <c r="G28" s="1429">
        <v>5000</v>
      </c>
      <c r="H28" s="1276">
        <v>20</v>
      </c>
      <c r="I28" s="1276">
        <f t="shared" si="3"/>
        <v>5020</v>
      </c>
      <c r="J28" s="1416">
        <f t="shared" si="4"/>
        <v>140124.1</v>
      </c>
      <c r="K28" s="1421" t="s">
        <v>142</v>
      </c>
      <c r="L28" s="117"/>
      <c r="M28" s="466"/>
    </row>
    <row r="29" ht="15.5" customHeight="1" spans="2:13">
      <c r="B29" s="1425">
        <v>7</v>
      </c>
      <c r="C29" s="1430">
        <v>46261</v>
      </c>
      <c r="D29" s="1427" t="s">
        <v>110</v>
      </c>
      <c r="E29" s="1428">
        <v>7982933945</v>
      </c>
      <c r="F29" s="1274" t="s">
        <v>113</v>
      </c>
      <c r="G29" s="1429">
        <v>2000</v>
      </c>
      <c r="H29" s="1276">
        <v>20</v>
      </c>
      <c r="I29" s="1276">
        <f t="shared" si="3"/>
        <v>2020</v>
      </c>
      <c r="J29" s="1416">
        <f t="shared" si="4"/>
        <v>145144.1</v>
      </c>
      <c r="K29" s="1421" t="s">
        <v>142</v>
      </c>
      <c r="L29" s="1431"/>
    </row>
    <row r="30" ht="15.5" customHeight="1" spans="2:13">
      <c r="B30" s="1425">
        <v>6</v>
      </c>
      <c r="C30" s="1430">
        <v>46259</v>
      </c>
      <c r="D30" s="1427" t="s">
        <v>110</v>
      </c>
      <c r="E30" s="1428">
        <v>7982933945</v>
      </c>
      <c r="F30" s="1274" t="s">
        <v>113</v>
      </c>
      <c r="G30" s="1429"/>
      <c r="H30" s="1276">
        <v>50</v>
      </c>
      <c r="I30" s="1276">
        <f t="shared" si="3"/>
        <v>50</v>
      </c>
      <c r="J30" s="1416">
        <f t="shared" si="4"/>
        <v>147164.1</v>
      </c>
      <c r="K30" s="1421" t="s">
        <v>142</v>
      </c>
      <c r="L30" s="1431"/>
    </row>
    <row r="31" ht="15.5" customHeight="1" spans="2:13">
      <c r="B31" s="1425">
        <v>5</v>
      </c>
      <c r="C31" s="1430">
        <v>46252</v>
      </c>
      <c r="D31" s="1427" t="s">
        <v>110</v>
      </c>
      <c r="E31" s="1428">
        <v>7982933945</v>
      </c>
      <c r="F31" s="1274" t="s">
        <v>113</v>
      </c>
      <c r="G31" s="1429">
        <v>10225</v>
      </c>
      <c r="H31" s="1276">
        <v>40.9</v>
      </c>
      <c r="I31" s="1276">
        <f t="shared" si="3"/>
        <v>10265.9</v>
      </c>
      <c r="J31" s="1416">
        <f t="shared" si="4"/>
        <v>147214.1</v>
      </c>
      <c r="K31" s="1421" t="s">
        <v>142</v>
      </c>
      <c r="L31" s="1431"/>
    </row>
    <row r="32" ht="15.5" customHeight="1" spans="2:13">
      <c r="B32" s="1425">
        <v>4</v>
      </c>
      <c r="C32" s="1430">
        <v>46248</v>
      </c>
      <c r="D32" s="1427" t="s">
        <v>110</v>
      </c>
      <c r="E32" s="1428">
        <v>7982933945</v>
      </c>
      <c r="F32" s="1274" t="s">
        <v>113</v>
      </c>
      <c r="G32" s="1429">
        <v>2230</v>
      </c>
      <c r="H32" s="1276">
        <v>20</v>
      </c>
      <c r="I32" s="1276">
        <f t="shared" si="3"/>
        <v>2250</v>
      </c>
      <c r="J32" s="1416">
        <f t="shared" si="4"/>
        <v>157480</v>
      </c>
      <c r="K32" s="1421" t="s">
        <v>142</v>
      </c>
      <c r="L32" s="1431">
        <f ca="1">J11-E9-C9</f>
        <v>-53822.64902</v>
      </c>
    </row>
    <row r="33" ht="15.5" customHeight="1" spans="2:12">
      <c r="B33" s="1425">
        <v>3</v>
      </c>
      <c r="C33" s="1430">
        <v>46248</v>
      </c>
      <c r="D33" s="1427" t="s">
        <v>110</v>
      </c>
      <c r="E33" s="1428">
        <v>7982933945</v>
      </c>
      <c r="F33" s="1274" t="s">
        <v>111</v>
      </c>
      <c r="G33" s="1432">
        <v>156350</v>
      </c>
      <c r="H33" s="1276">
        <v>20</v>
      </c>
      <c r="I33" s="1276">
        <f>G33-H33</f>
        <v>156330</v>
      </c>
      <c r="J33" s="1416">
        <f t="shared" si="4"/>
        <v>159730</v>
      </c>
      <c r="K33" s="1421" t="s">
        <v>142</v>
      </c>
      <c r="L33" s="1431"/>
    </row>
    <row r="34" ht="15.5" customHeight="1" spans="2:12">
      <c r="B34" s="1425">
        <v>2</v>
      </c>
      <c r="C34" s="1430">
        <v>46227</v>
      </c>
      <c r="D34" s="1427" t="s">
        <v>110</v>
      </c>
      <c r="E34" s="1428">
        <v>7982933945</v>
      </c>
      <c r="F34" s="1274" t="s">
        <v>111</v>
      </c>
      <c r="G34" s="1429">
        <v>2100</v>
      </c>
      <c r="H34" s="1276">
        <v>0</v>
      </c>
      <c r="I34" s="1276">
        <f>G34+H34</f>
        <v>2100</v>
      </c>
      <c r="J34" s="1416">
        <f t="shared" si="4"/>
        <v>3400</v>
      </c>
      <c r="K34" s="1421" t="s">
        <v>142</v>
      </c>
      <c r="L34" s="1431"/>
    </row>
    <row r="35" ht="16.25" customHeight="1" spans="2:12">
      <c r="B35" s="1433">
        <v>1</v>
      </c>
      <c r="C35" s="1434">
        <v>46225</v>
      </c>
      <c r="D35" s="1435" t="s">
        <v>110</v>
      </c>
      <c r="E35" s="1436">
        <v>7982933945</v>
      </c>
      <c r="F35" s="1303" t="s">
        <v>111</v>
      </c>
      <c r="G35" s="1437">
        <v>1300</v>
      </c>
      <c r="H35" s="1438">
        <v>0</v>
      </c>
      <c r="I35" s="1438">
        <f>G35+H35</f>
        <v>1300</v>
      </c>
      <c r="J35" s="1439">
        <f>G35-H35</f>
        <v>1300</v>
      </c>
      <c r="K35" s="1440" t="s">
        <v>142</v>
      </c>
      <c r="L35" s="1431"/>
    </row>
    <row r="37" ht="13" customHeight="1" spans="2:12">
      <c r="C37" s="70"/>
      <c r="I37" s="466"/>
    </row>
    <row r="38" ht="13" customHeight="1" spans="2:12">
      <c r="C38" s="70"/>
    </row>
    <row r="40" spans="2:12">
      <c r="H40" s="466"/>
    </row>
    <row r="41" spans="2:12">
      <c r="H41" s="466"/>
    </row>
  </sheetData>
  <mergeCells count="3">
    <mergeCell ref="C6:H6"/>
    <mergeCell ref="D7:H7"/>
    <mergeCell ref="B10:G10"/>
  </mergeCells>
  <conditionalFormatting sqref="J6:K6">
    <cfRule type="cellIs" dxfId="1" priority="4" stopIfTrue="1" operator="equal">
      <formula>0</formula>
    </cfRule>
  </conditionalFormatting>
  <conditionalFormatting sqref="J10:K10">
    <cfRule type="cellIs" dxfId="1" priority="6" stopIfTrue="1" operator="greaterThan">
      <formula>0</formula>
    </cfRule>
  </conditionalFormatting>
  <conditionalFormatting sqref="L10">
    <cfRule type="cellIs" dxfId="0" priority="1" stopIfTrue="1" operator="lessThan">
      <formula>0</formula>
    </cfRule>
  </conditionalFormatting>
  <conditionalFormatting sqref="J9:K10">
    <cfRule type="cellIs" dxfId="0" priority="5" stopIfTrue="1" operator="lessThan">
      <formula>0</formula>
    </cfRule>
  </conditionalFormatting>
  <dataValidations count="5">
    <dataValidation type="list" allowBlank="1" showInputMessage="1" showErrorMessage="1" sqref="D12:D35">
      <formula1>$D$2:$D$4</formula1>
    </dataValidation>
    <dataValidation type="list" allowBlank="1" showInputMessage="1" showErrorMessage="1" sqref="E12:E33">
      <formula1>$E$2:$E$4</formula1>
    </dataValidation>
    <dataValidation type="list" allowBlank="1" showInputMessage="1" showErrorMessage="1" sqref="E34:E35">
      <formula1>"7982933945"</formula1>
    </dataValidation>
    <dataValidation type="list" allowBlank="1" showInputMessage="1" showErrorMessage="1" sqref="F12:F30">
      <formula1>$F$2:$F$3</formula1>
    </dataValidation>
    <dataValidation type="list" allowBlank="1" showInputMessage="1" showErrorMessage="1" sqref="F31:F35">
      <formula1>$F$2:$F$4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2"/>
  <sheetViews>
    <sheetView view="pageBreakPreview" zoomScaleNormal="85" workbookViewId="0">
      <selection activeCell="M2" sqref="M2"/>
    </sheetView>
  </sheetViews>
  <sheetFormatPr defaultColWidth="8.72727272727273" defaultRowHeight="12.5"/>
  <cols>
    <col min="1" max="1" width="2.36363636363636" customWidth="1"/>
    <col min="2" max="2" width="11.2727272727273" customWidth="1"/>
    <col min="3" max="3" width="45.4545454545455" customWidth="1"/>
    <col min="4" max="4" width="14.0909090909091" customWidth="1"/>
    <col min="5" max="5" width="44.6363636363636" customWidth="1"/>
    <col min="6" max="6" width="12" customWidth="1"/>
    <col min="7" max="8" width="12.4545454545455" customWidth="1"/>
    <col min="9" max="9" width="30" style="465" customWidth="1"/>
    <col min="10" max="11" width="17.9090909090909" customWidth="1"/>
    <col min="12" max="12" width="13.7272727272727" customWidth="1"/>
    <col min="13" max="14" width="14.2727272727273" customWidth="1"/>
    <col min="15" max="15" width="11.9090909090909" customWidth="1"/>
    <col min="16" max="16" width="56.6363636363636" customWidth="1"/>
    <col min="18" max="18" width="12.2727272727273" customWidth="1"/>
  </cols>
  <sheetData>
    <row r="1" ht="13.75" customHeight="1" spans="2:16">
      <c r="B1" s="239" t="s">
        <v>144</v>
      </c>
      <c r="C1" s="1254" t="s">
        <v>145</v>
      </c>
      <c r="D1" s="1254" t="s">
        <v>146</v>
      </c>
      <c r="E1" s="1255" t="s">
        <v>147</v>
      </c>
      <c r="F1" s="1256" t="s">
        <v>148</v>
      </c>
      <c r="G1" s="1256" t="s">
        <v>149</v>
      </c>
      <c r="H1" s="1256" t="s">
        <v>150</v>
      </c>
      <c r="I1" s="1257" t="s">
        <v>151</v>
      </c>
      <c r="J1" s="1257" t="s">
        <v>152</v>
      </c>
      <c r="K1" s="1257" t="s">
        <v>97</v>
      </c>
      <c r="L1" s="1257" t="s">
        <v>153</v>
      </c>
      <c r="M1" s="1256" t="s">
        <v>154</v>
      </c>
      <c r="N1" s="1256" t="s">
        <v>155</v>
      </c>
      <c r="O1" s="1258" t="s">
        <v>156</v>
      </c>
      <c r="P1" s="1259" t="s">
        <v>156</v>
      </c>
    </row>
    <row r="2" ht="13.75" customHeight="1" spans="2:16">
      <c r="B2" s="125"/>
      <c r="C2" s="126"/>
      <c r="D2" s="127" t="s">
        <v>84</v>
      </c>
      <c r="E2" s="128" t="s">
        <v>157</v>
      </c>
      <c r="F2" s="128" t="s">
        <v>85</v>
      </c>
      <c r="G2" s="128" t="s">
        <v>86</v>
      </c>
      <c r="H2" s="128" t="s">
        <v>87</v>
      </c>
      <c r="I2" s="129">
        <f>SUM(I3:I25)</f>
        <v>317958.45</v>
      </c>
      <c r="J2" s="129">
        <f>SUM(J3:J25)</f>
        <v>12228.09</v>
      </c>
      <c r="K2" s="129">
        <f>SUM(K3:K25)</f>
        <v>24996.94</v>
      </c>
      <c r="L2" s="129">
        <f>SUM(L3:L25)</f>
        <v>16371.04</v>
      </c>
      <c r="M2" s="129">
        <f>SUM(M3:M25)</f>
        <v>0</v>
      </c>
      <c r="N2" s="129"/>
      <c r="O2" s="129">
        <f>SUM(O3:O68)</f>
        <v>40</v>
      </c>
      <c r="P2" s="1260"/>
    </row>
    <row r="3" ht="13" customHeight="1" spans="2:16">
      <c r="B3" s="1261"/>
      <c r="C3" s="1262"/>
      <c r="D3" s="1263"/>
      <c r="E3" s="1262"/>
      <c r="F3" s="1262"/>
      <c r="G3" s="1264"/>
      <c r="H3" s="1262"/>
      <c r="I3" s="1264"/>
      <c r="J3" s="1264"/>
      <c r="K3" s="1264"/>
      <c r="L3" s="1264"/>
      <c r="M3" s="1262"/>
      <c r="N3" s="1262"/>
      <c r="O3" s="1265"/>
      <c r="P3" s="1266"/>
    </row>
    <row r="4" ht="13" customHeight="1" spans="2:16">
      <c r="B4" s="1267"/>
      <c r="C4" s="1268"/>
      <c r="D4" s="1269"/>
      <c r="E4" s="1268"/>
      <c r="F4" s="1268"/>
      <c r="G4" s="1270"/>
      <c r="H4" s="1268"/>
      <c r="I4" s="1270"/>
      <c r="J4" s="1270"/>
      <c r="K4" s="1270"/>
      <c r="L4" s="1270"/>
      <c r="M4" s="1268"/>
      <c r="N4" s="1268"/>
      <c r="O4" s="1271"/>
      <c r="P4" s="1272"/>
    </row>
    <row r="5" ht="13" customHeight="1" spans="2:16">
      <c r="B5" s="1267"/>
      <c r="C5" s="1273"/>
      <c r="D5" s="1274"/>
      <c r="E5" s="1275"/>
      <c r="F5" s="1268"/>
      <c r="G5" s="1276"/>
      <c r="H5" s="1277"/>
      <c r="I5" s="1270"/>
      <c r="J5" s="1270"/>
      <c r="K5" s="1270"/>
      <c r="L5" s="1270"/>
      <c r="M5" s="1278"/>
      <c r="N5" s="1278"/>
      <c r="O5" s="1271"/>
      <c r="P5" s="1272"/>
    </row>
    <row r="6" ht="13" customHeight="1" spans="2:16">
      <c r="B6" s="1267"/>
      <c r="C6" s="1273"/>
      <c r="D6" s="1274"/>
      <c r="E6" s="1275"/>
      <c r="F6" s="1268"/>
      <c r="G6" s="1276"/>
      <c r="H6" s="1277"/>
      <c r="I6" s="1270"/>
      <c r="J6" s="1270"/>
      <c r="K6" s="1270"/>
      <c r="L6" s="1273"/>
      <c r="M6" s="1278"/>
      <c r="N6" s="1278"/>
      <c r="O6" s="1271"/>
      <c r="P6" s="1272"/>
    </row>
    <row r="7" ht="13" customHeight="1" spans="2:16">
      <c r="B7" s="1267"/>
      <c r="C7" s="1273"/>
      <c r="D7" s="1274"/>
      <c r="E7" s="1275"/>
      <c r="F7" s="1268"/>
      <c r="G7" s="1276"/>
      <c r="H7" s="1277"/>
      <c r="I7" s="1270"/>
      <c r="J7" s="1270"/>
      <c r="K7" s="1270"/>
      <c r="L7" s="1273"/>
      <c r="M7" s="1278"/>
      <c r="N7" s="1278"/>
      <c r="O7" s="1271"/>
      <c r="P7" s="1272"/>
    </row>
    <row r="8" ht="13" customHeight="1" spans="2:16">
      <c r="B8" s="1267"/>
      <c r="C8" s="1273"/>
      <c r="D8" s="1274"/>
      <c r="E8" s="1275"/>
      <c r="F8" s="1268"/>
      <c r="G8" s="1276"/>
      <c r="H8" s="1277"/>
      <c r="I8" s="1270"/>
      <c r="J8" s="1270"/>
      <c r="K8" s="1270"/>
      <c r="L8" s="1273"/>
      <c r="M8" s="1278"/>
      <c r="N8" s="1278"/>
      <c r="O8" s="1271"/>
      <c r="P8" s="1272"/>
    </row>
    <row r="9" ht="13" customHeight="1" spans="2:16">
      <c r="B9" s="1267"/>
      <c r="C9" s="1273"/>
      <c r="D9" s="1274"/>
      <c r="E9" s="1275"/>
      <c r="F9" s="1268"/>
      <c r="G9" s="1276"/>
      <c r="H9" s="1277"/>
      <c r="I9" s="1270"/>
      <c r="J9" s="1270"/>
      <c r="K9" s="1270"/>
      <c r="L9" s="1273"/>
      <c r="M9" s="1278"/>
      <c r="N9" s="1278"/>
      <c r="O9" s="1271"/>
      <c r="P9" s="1272"/>
    </row>
    <row r="10" ht="13" customHeight="1" spans="2:16">
      <c r="B10" s="1267"/>
      <c r="C10" s="1273"/>
      <c r="D10" s="1274"/>
      <c r="E10" s="1275"/>
      <c r="F10" s="1268"/>
      <c r="G10" s="1279"/>
      <c r="H10" s="1277"/>
      <c r="I10" s="1279"/>
      <c r="J10" s="1270"/>
      <c r="K10" s="1270"/>
      <c r="L10" s="1279"/>
      <c r="M10" s="1280"/>
      <c r="N10" s="1280"/>
      <c r="O10" s="1271"/>
      <c r="P10" s="1272"/>
    </row>
    <row r="11" ht="13" customHeight="1" spans="2:16">
      <c r="B11" s="1267"/>
      <c r="C11" s="1281"/>
      <c r="D11" s="1274"/>
      <c r="E11" s="1275"/>
      <c r="F11" s="1282"/>
      <c r="G11" s="1283"/>
      <c r="H11" s="1284"/>
      <c r="I11" s="1283"/>
      <c r="J11" s="1282"/>
      <c r="K11" s="1285"/>
      <c r="L11" s="1279"/>
      <c r="M11" s="1280"/>
      <c r="N11" s="1280"/>
      <c r="O11" s="1271"/>
      <c r="P11" s="1286"/>
    </row>
    <row r="12" ht="13" customHeight="1" spans="2:16">
      <c r="B12" s="1267"/>
      <c r="C12" s="1273"/>
      <c r="D12" s="1274"/>
      <c r="E12" s="1275"/>
      <c r="F12" s="1268"/>
      <c r="G12" s="1287"/>
      <c r="H12" s="1277"/>
      <c r="I12" s="1287"/>
      <c r="J12" s="1270"/>
      <c r="K12" s="1270"/>
      <c r="L12" s="1279"/>
      <c r="M12" s="1280"/>
      <c r="N12" s="1280"/>
      <c r="O12" s="1271"/>
      <c r="P12" s="1286"/>
    </row>
    <row r="13" ht="13" customHeight="1" spans="2:16">
      <c r="B13" s="1288">
        <v>46300</v>
      </c>
      <c r="C13" s="1273" t="s">
        <v>158</v>
      </c>
      <c r="D13" s="1274" t="s">
        <v>87</v>
      </c>
      <c r="E13" s="1275" t="s">
        <v>159</v>
      </c>
      <c r="F13" s="1268"/>
      <c r="G13" s="1279">
        <v>9598.45</v>
      </c>
      <c r="H13" s="1277">
        <v>1</v>
      </c>
      <c r="I13" s="1279">
        <f>G13*H13</f>
        <v>9598.45</v>
      </c>
      <c r="J13" s="1270"/>
      <c r="K13" s="1270"/>
      <c r="L13" s="1279"/>
      <c r="M13" s="1289"/>
      <c r="N13" s="1289">
        <f>B13</f>
        <v>46300</v>
      </c>
      <c r="O13" s="1279"/>
      <c r="P13" s="1290" t="s">
        <v>160</v>
      </c>
    </row>
    <row r="14" ht="13" customHeight="1" spans="2:16">
      <c r="B14" s="1267"/>
      <c r="C14" s="1273" t="s">
        <v>161</v>
      </c>
      <c r="D14" s="1274" t="s">
        <v>87</v>
      </c>
      <c r="E14" s="1275" t="s">
        <v>162</v>
      </c>
      <c r="F14" s="1291"/>
      <c r="G14" s="1279">
        <f>SOFP!AZ40</f>
        <v>-1344.72</v>
      </c>
      <c r="H14" s="1277"/>
      <c r="I14" s="1279"/>
      <c r="J14" s="1270"/>
      <c r="K14" s="1270"/>
      <c r="L14" s="1279"/>
      <c r="M14" s="1268"/>
      <c r="N14" s="1268"/>
      <c r="O14" s="1271"/>
      <c r="P14" s="1286"/>
    </row>
    <row r="15" ht="13" customHeight="1" spans="2:16">
      <c r="B15" s="1288"/>
      <c r="C15" s="1273" t="s">
        <v>163</v>
      </c>
      <c r="D15" s="1274" t="s">
        <v>87</v>
      </c>
      <c r="E15" s="1275" t="s">
        <v>162</v>
      </c>
      <c r="F15" s="1292"/>
      <c r="G15" s="1279">
        <f>SOFP!AH40</f>
        <v>-13930.9</v>
      </c>
      <c r="H15" s="1277"/>
      <c r="I15" s="1279"/>
      <c r="J15" s="1270"/>
      <c r="K15" s="1270"/>
      <c r="L15" s="1279"/>
      <c r="M15" s="1268"/>
      <c r="N15" s="1268"/>
      <c r="O15" s="1271"/>
      <c r="P15" s="1286"/>
    </row>
    <row r="16" ht="13" customHeight="1" spans="2:16">
      <c r="B16" s="1267"/>
      <c r="C16" s="1273" t="s">
        <v>164</v>
      </c>
      <c r="D16" s="1274" t="s">
        <v>87</v>
      </c>
      <c r="E16" s="1275" t="s">
        <v>162</v>
      </c>
      <c r="F16" s="1291"/>
      <c r="G16" s="1279">
        <f>SOFP!X40</f>
        <v>-20417.23</v>
      </c>
      <c r="H16" s="1277"/>
      <c r="I16" s="1279"/>
      <c r="J16" s="1270"/>
      <c r="K16" s="1270"/>
      <c r="L16" s="1279"/>
      <c r="M16" s="1268"/>
      <c r="N16" s="1268"/>
      <c r="O16" s="1271"/>
      <c r="P16" s="1286"/>
    </row>
    <row r="17" ht="13" customHeight="1" spans="2:16">
      <c r="B17" s="1267"/>
      <c r="C17" s="1273" t="s">
        <v>165</v>
      </c>
      <c r="D17" s="1274" t="s">
        <v>87</v>
      </c>
      <c r="E17" s="1275" t="s">
        <v>162</v>
      </c>
      <c r="F17" s="1293"/>
      <c r="G17" s="1294">
        <f>5000*31</f>
        <v>155000</v>
      </c>
      <c r="H17" s="1277"/>
      <c r="I17" s="1279"/>
      <c r="J17" s="1270"/>
      <c r="K17" s="1270"/>
      <c r="L17" s="1279"/>
      <c r="M17" s="1268"/>
      <c r="N17" s="1268"/>
      <c r="O17" s="1271"/>
      <c r="P17" s="1286"/>
    </row>
    <row r="18" ht="13" customHeight="1" spans="2:16">
      <c r="B18" s="1288">
        <v>46275</v>
      </c>
      <c r="C18" s="1273" t="s">
        <v>166</v>
      </c>
      <c r="D18" s="1274" t="s">
        <v>87</v>
      </c>
      <c r="E18" s="1275" t="s">
        <v>162</v>
      </c>
      <c r="F18" s="1268"/>
      <c r="G18" s="1279">
        <v>24996.94</v>
      </c>
      <c r="H18" s="1277">
        <v>1</v>
      </c>
      <c r="I18" s="1268"/>
      <c r="J18" s="1270"/>
      <c r="K18" s="1279">
        <f>G18</f>
        <v>24996.94</v>
      </c>
      <c r="L18" s="1279"/>
      <c r="M18" s="1295"/>
      <c r="N18" s="1295">
        <v>46275</v>
      </c>
      <c r="O18" s="1271"/>
      <c r="P18" s="1296" t="s">
        <v>167</v>
      </c>
    </row>
    <row r="19" ht="13" customHeight="1" spans="2:16">
      <c r="B19" s="1288">
        <v>46275</v>
      </c>
      <c r="C19" s="1273" t="s">
        <v>168</v>
      </c>
      <c r="D19" s="1274" t="s">
        <v>87</v>
      </c>
      <c r="E19" s="1275" t="s">
        <v>162</v>
      </c>
      <c r="F19" s="1268"/>
      <c r="G19" s="1279">
        <v>12228.09</v>
      </c>
      <c r="H19" s="1277">
        <v>1</v>
      </c>
      <c r="I19" s="1268"/>
      <c r="J19" s="1279">
        <f>G19</f>
        <v>12228.09</v>
      </c>
      <c r="K19" s="1270"/>
      <c r="L19" s="1279"/>
      <c r="M19" s="1295"/>
      <c r="N19" s="1295">
        <v>46275</v>
      </c>
      <c r="O19" s="1271"/>
      <c r="P19" s="1296"/>
    </row>
    <row r="20" ht="13" customHeight="1" spans="2:16">
      <c r="B20" s="1288">
        <v>46275</v>
      </c>
      <c r="C20" s="1273" t="s">
        <v>169</v>
      </c>
      <c r="D20" s="1274" t="s">
        <v>87</v>
      </c>
      <c r="E20" s="1275" t="s">
        <v>162</v>
      </c>
      <c r="F20" s="1268"/>
      <c r="G20" s="1279">
        <v>15021.04</v>
      </c>
      <c r="H20" s="1277">
        <v>1</v>
      </c>
      <c r="I20" s="1268"/>
      <c r="J20" s="1270"/>
      <c r="K20" s="1270"/>
      <c r="L20" s="1279">
        <f>G20</f>
        <v>15021.04</v>
      </c>
      <c r="M20" s="1295"/>
      <c r="N20" s="1295">
        <v>46275</v>
      </c>
      <c r="O20" s="1271"/>
      <c r="P20" s="1296"/>
    </row>
    <row r="21" ht="13" customHeight="1" spans="2:16">
      <c r="B21" s="1288">
        <v>46275</v>
      </c>
      <c r="C21" s="1273" t="s">
        <v>170</v>
      </c>
      <c r="D21" s="1274" t="s">
        <v>87</v>
      </c>
      <c r="E21" s="1275" t="s">
        <v>162</v>
      </c>
      <c r="F21" s="1268"/>
      <c r="G21" s="1294">
        <v>150000</v>
      </c>
      <c r="H21" s="1277">
        <v>1</v>
      </c>
      <c r="I21" s="1279">
        <f>G21-O21</f>
        <v>149980</v>
      </c>
      <c r="J21" s="1270"/>
      <c r="K21" s="1270"/>
      <c r="L21" s="1279"/>
      <c r="M21" s="1295"/>
      <c r="N21" s="1295">
        <v>46275</v>
      </c>
      <c r="O21" s="1271">
        <v>20</v>
      </c>
      <c r="P21" s="1296"/>
    </row>
    <row r="22" ht="13" customHeight="1" spans="2:16">
      <c r="B22" s="1297">
        <v>46234</v>
      </c>
      <c r="C22" s="1273" t="s">
        <v>171</v>
      </c>
      <c r="D22" s="1274" t="s">
        <v>87</v>
      </c>
      <c r="E22" s="1275" t="s">
        <v>162</v>
      </c>
      <c r="F22" s="1268"/>
      <c r="G22" s="1294">
        <v>1350</v>
      </c>
      <c r="H22" s="1277">
        <v>1</v>
      </c>
      <c r="I22" s="1279"/>
      <c r="J22" s="1270"/>
      <c r="K22" s="1270"/>
      <c r="L22" s="1279">
        <v>1350</v>
      </c>
      <c r="M22" s="1295"/>
      <c r="N22" s="1295">
        <f>B22</f>
        <v>46234</v>
      </c>
      <c r="O22" s="1271"/>
      <c r="P22" s="1298" t="s">
        <v>172</v>
      </c>
    </row>
    <row r="23" ht="13" customHeight="1" spans="2:16">
      <c r="B23" s="1288">
        <v>46248</v>
      </c>
      <c r="C23" s="1273" t="s">
        <v>173</v>
      </c>
      <c r="D23" s="1274" t="s">
        <v>87</v>
      </c>
      <c r="E23" s="1275" t="s">
        <v>162</v>
      </c>
      <c r="F23" s="1268"/>
      <c r="G23" s="1294">
        <v>155000</v>
      </c>
      <c r="H23" s="1277">
        <v>1</v>
      </c>
      <c r="I23" s="1279">
        <f>G23-O23</f>
        <v>154980</v>
      </c>
      <c r="J23" s="1270"/>
      <c r="K23" s="1270"/>
      <c r="L23" s="1279"/>
      <c r="M23" s="1289"/>
      <c r="N23" s="1289">
        <v>46248</v>
      </c>
      <c r="O23" s="1271">
        <v>20</v>
      </c>
      <c r="P23" s="1298"/>
    </row>
    <row r="24" ht="13" customHeight="1" spans="2:16">
      <c r="B24" s="1288">
        <v>46227</v>
      </c>
      <c r="C24" s="1273" t="s">
        <v>174</v>
      </c>
      <c r="D24" s="1274" t="s">
        <v>87</v>
      </c>
      <c r="E24" s="1275" t="s">
        <v>175</v>
      </c>
      <c r="F24" s="1273"/>
      <c r="G24" s="1294">
        <v>2100</v>
      </c>
      <c r="H24" s="1299">
        <v>1</v>
      </c>
      <c r="I24" s="1279">
        <f>(G24*H24)-L24</f>
        <v>2100</v>
      </c>
      <c r="J24" s="1270"/>
      <c r="K24" s="1270"/>
      <c r="L24" s="1270"/>
      <c r="M24" s="1289"/>
      <c r="N24" s="1289">
        <v>46227</v>
      </c>
      <c r="O24" s="1300"/>
      <c r="P24" s="1298" t="s">
        <v>176</v>
      </c>
    </row>
    <row r="25" ht="13.75" customHeight="1" spans="2:16">
      <c r="B25" s="1301">
        <v>46225</v>
      </c>
      <c r="C25" s="1302" t="s">
        <v>177</v>
      </c>
      <c r="D25" s="1303" t="s">
        <v>87</v>
      </c>
      <c r="E25" s="1304" t="s">
        <v>175</v>
      </c>
      <c r="F25" s="1302"/>
      <c r="G25" s="1305">
        <v>1300</v>
      </c>
      <c r="H25" s="1306">
        <v>1</v>
      </c>
      <c r="I25" s="1307">
        <f>G25*H25</f>
        <v>1300</v>
      </c>
      <c r="J25" s="1307"/>
      <c r="K25" s="1307"/>
      <c r="L25" s="1308"/>
      <c r="M25" s="1309"/>
      <c r="N25" s="1309">
        <v>46225</v>
      </c>
      <c r="O25" s="1310"/>
      <c r="P25" s="1311" t="s">
        <v>178</v>
      </c>
    </row>
    <row r="26" ht="13.25" customHeight="1" spans="2:16">
      <c r="F26" s="319"/>
    </row>
    <row r="27" ht="13" customHeight="1" spans="2:16">
      <c r="B27" s="1312" t="s">
        <v>179</v>
      </c>
      <c r="C27" s="1313" t="s">
        <v>180</v>
      </c>
      <c r="D27" s="1314">
        <f>I2</f>
        <v>317958.45</v>
      </c>
      <c r="F27" s="319"/>
      <c r="G27" s="319"/>
    </row>
    <row r="28" ht="13.75" customHeight="1" spans="2:16">
      <c r="B28" s="1315">
        <v>46218</v>
      </c>
      <c r="C28" s="1316" t="s">
        <v>181</v>
      </c>
      <c r="D28" s="1317">
        <f>J2</f>
        <v>12228.09</v>
      </c>
      <c r="F28" s="319"/>
      <c r="G28" s="319"/>
      <c r="H28" s="466"/>
      <c r="I28" s="1318"/>
      <c r="L28" s="348"/>
    </row>
    <row r="29" ht="13" customHeight="1" spans="2:16">
      <c r="B29" s="1319" t="s">
        <v>182</v>
      </c>
      <c r="C29" s="1316" t="s">
        <v>183</v>
      </c>
      <c r="D29" s="1317">
        <f>L2</f>
        <v>16371.04</v>
      </c>
      <c r="G29" s="319"/>
      <c r="H29" s="466"/>
      <c r="I29" s="1318"/>
      <c r="K29" s="466"/>
    </row>
    <row r="30" ht="13.75" customHeight="1" spans="2:16">
      <c r="B30" s="1320">
        <f ca="1">TODAY()-B28</f>
        <v>91</v>
      </c>
      <c r="C30" s="1321" t="s">
        <v>184</v>
      </c>
      <c r="D30" s="1322">
        <f>K2</f>
        <v>24996.94</v>
      </c>
      <c r="G30" s="466"/>
      <c r="H30" s="348"/>
      <c r="I30" s="1318"/>
    </row>
    <row r="31" ht="15.5" customHeight="1" spans="2:16">
      <c r="B31" s="1323" t="s">
        <v>185</v>
      </c>
      <c r="C31" s="1324" t="s">
        <v>186</v>
      </c>
      <c r="D31" s="1325">
        <f>SUM(D27:D30)</f>
        <v>371554.52</v>
      </c>
      <c r="G31" s="319"/>
      <c r="H31" s="319"/>
    </row>
    <row r="32" ht="16.25" customHeight="1" spans="2:16">
      <c r="B32" s="1326"/>
      <c r="C32" s="1327" t="s">
        <v>187</v>
      </c>
      <c r="D32" s="1328">
        <f ca="1">(D27+D28+D29+D30)/(TODAY()-B28)</f>
        <v>4083.0167032967</v>
      </c>
    </row>
  </sheetData>
  <mergeCells count="2">
    <mergeCell ref="P18:P21"/>
    <mergeCell ref="P22:P23"/>
  </mergeCells>
  <conditionalFormatting sqref="D3:D25">
    <cfRule type="containsText" dxfId="3" priority="1" stopIfTrue="1" operator="between" text="Paying">
      <formula>NOT(ISERROR(SEARCH("Paying",D3)))</formula>
    </cfRule>
  </conditionalFormatting>
  <conditionalFormatting sqref="G5:G9">
    <cfRule type="containsText" dxfId="3" priority="20" stopIfTrue="1" operator="between" text="Paying">
      <formula>NOT(ISERROR(SEARCH("Paying",G5)))</formula>
    </cfRule>
  </conditionalFormatting>
  <dataValidations count="1">
    <dataValidation type="list" allowBlank="1" showInputMessage="1" showErrorMessage="1" sqref="D5:D25">
      <formula1>$D$2:$H$2</formula1>
    </dataValidation>
  </dataValidations>
  <hyperlinks>
    <hyperlink ref="P25" r:id="rId1" display="Payment_Certificate_20260722134815.pdf"/>
    <hyperlink ref="P22:P23" r:id="rId2" display="电子回单详情.pdf"/>
    <hyperlink ref="P24" r:id="rId3" display="Payment_Certificate_20260723210333.pdf"/>
    <hyperlink ref="P18:P21" r:id="rId4" display="63f3beff3842f8c1ab8873eb8078536d.pdf"/>
    <hyperlink ref="P13" r:id="rId5" display="HK Payee Advice_700a20625e0b477d8a20625e0b577dbb.pdf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KM109"/>
  <sheetViews>
    <sheetView tabSelected="1" zoomScale="85" zoomScaleNormal="85" topLeftCell="A81" workbookViewId="0">
      <selection activeCell="L103" sqref="L103"/>
    </sheetView>
  </sheetViews>
  <sheetFormatPr defaultColWidth="8.72727272727273" defaultRowHeight="13"/>
  <cols>
    <col min="1" max="1" width="8.81818181818182" style="465" customWidth="1"/>
    <col min="2" max="2" width="59.0909090909091" customWidth="1"/>
    <col min="3" max="3" width="11.3636363636364" style="465" customWidth="1"/>
    <col min="4" max="4" width="43.1" customWidth="1"/>
    <col min="5" max="5" width="15.0909090909091" style="465" customWidth="1"/>
    <col min="6" max="6" width="13.1818181818182" style="616" customWidth="1"/>
    <col min="7" max="7" width="12.0909090909091" style="616" customWidth="1"/>
    <col min="8" max="8" width="10.7272727272727" style="1000" customWidth="1"/>
    <col min="9" max="9" width="17.5454545454545" customWidth="1"/>
    <col min="10" max="10" width="13.5454545454545" style="120" customWidth="1"/>
    <col min="11" max="11" width="9.81818181818182" style="1001" customWidth="1"/>
    <col min="12" max="12" width="18.3636363636364" customWidth="1"/>
    <col min="13" max="13" width="20.8181818181818" customWidth="1"/>
    <col min="14" max="14" width="11.2727272727273" customWidth="1"/>
    <col min="15" max="15" width="9.81818181818182" customWidth="1"/>
    <col min="16" max="16" width="8.27272727272727" customWidth="1"/>
    <col min="17" max="17" width="12.0909090909091" style="1001" customWidth="1"/>
    <col min="18" max="18" width="9.27272727272727" style="1001" customWidth="1"/>
    <col min="19" max="19" width="15.0909090909091" customWidth="1"/>
    <col min="20" max="20" width="12.2727272727273" style="616" customWidth="1"/>
    <col min="21" max="21" width="9.18181818181818" customWidth="1"/>
    <col min="22" max="22" width="12.4545454545455" customWidth="1"/>
    <col min="23" max="23" width="12.4545454545455" style="1002" customWidth="1"/>
    <col min="24" max="24" width="10.5454545454545" style="466" customWidth="1"/>
    <col min="25" max="25" width="9.45454545454546" customWidth="1"/>
    <col min="26" max="26" width="10.5454545454545" customWidth="1"/>
    <col min="27" max="27" width="9.63636363636364" customWidth="1"/>
    <col min="28" max="28" width="7.09090909090909" customWidth="1"/>
    <col min="29" max="29" width="11.6363636363636" customWidth="1"/>
    <col min="30" max="31" width="11.9090909090909" customWidth="1"/>
  </cols>
  <sheetData>
    <row r="1" ht="13.75" customHeight="1" spans="1:30">
      <c r="A1" s="239" t="s">
        <v>144</v>
      </c>
      <c r="B1" s="137" t="s">
        <v>145</v>
      </c>
      <c r="C1" s="137" t="s">
        <v>146</v>
      </c>
      <c r="D1" s="240" t="s">
        <v>147</v>
      </c>
      <c r="E1" s="241" t="s">
        <v>148</v>
      </c>
      <c r="F1" s="1003" t="s">
        <v>188</v>
      </c>
      <c r="G1" s="1003" t="s">
        <v>149</v>
      </c>
      <c r="H1" s="1004" t="s">
        <v>150</v>
      </c>
      <c r="I1" s="241" t="s">
        <v>189</v>
      </c>
      <c r="J1" s="321" t="s">
        <v>190</v>
      </c>
      <c r="K1" s="1005" t="s">
        <v>191</v>
      </c>
      <c r="L1" s="240" t="s">
        <v>192</v>
      </c>
      <c r="M1" s="239" t="s">
        <v>193</v>
      </c>
      <c r="N1" s="242" t="s">
        <v>194</v>
      </c>
      <c r="O1" s="242" t="s">
        <v>195</v>
      </c>
      <c r="P1" s="242" t="s">
        <v>196</v>
      </c>
      <c r="Q1" s="1006" t="s">
        <v>197</v>
      </c>
      <c r="R1" s="1007" t="s">
        <v>198</v>
      </c>
      <c r="S1" s="219" t="s">
        <v>199</v>
      </c>
      <c r="T1" s="1008" t="s">
        <v>156</v>
      </c>
      <c r="U1" s="219" t="s">
        <v>200</v>
      </c>
      <c r="V1" s="1009" t="s">
        <v>201</v>
      </c>
      <c r="W1" s="1010" t="s">
        <v>201</v>
      </c>
      <c r="X1" s="1011" t="s">
        <v>82</v>
      </c>
      <c r="Y1" s="1012" t="s">
        <v>83</v>
      </c>
      <c r="Z1" s="1013" t="s">
        <v>84</v>
      </c>
      <c r="AA1" s="1013" t="s">
        <v>85</v>
      </c>
      <c r="AB1" s="1013" t="s">
        <v>86</v>
      </c>
      <c r="AC1" s="1014" t="s">
        <v>87</v>
      </c>
    </row>
    <row r="2" ht="13.75" spans="1:30">
      <c r="A2" s="125"/>
      <c r="B2" s="126"/>
      <c r="C2" s="127" t="s">
        <v>83</v>
      </c>
      <c r="D2" s="128" t="s">
        <v>84</v>
      </c>
      <c r="E2" s="128" t="s">
        <v>85</v>
      </c>
      <c r="F2" s="1015"/>
      <c r="G2" s="1015" t="s">
        <v>86</v>
      </c>
      <c r="H2" s="1016" t="s">
        <v>87</v>
      </c>
      <c r="I2" s="129">
        <f>SUM(I4:I101)</f>
        <v>491536.621018376</v>
      </c>
      <c r="J2" s="1017"/>
      <c r="K2" s="129"/>
      <c r="L2" s="129">
        <f>SUM(L4:L129)</f>
        <v>491586.621018376</v>
      </c>
      <c r="M2" s="129">
        <f>SUM(M4:M129)</f>
        <v>490602.021018376</v>
      </c>
      <c r="N2" s="129">
        <f>SUM(N83:N101)</f>
        <v>0</v>
      </c>
      <c r="O2" s="129">
        <f>SUM(O83:O101)</f>
        <v>0</v>
      </c>
      <c r="P2" s="129">
        <f>SUM(P83:P101)</f>
        <v>0</v>
      </c>
      <c r="Q2" s="1018"/>
      <c r="R2" s="1018"/>
      <c r="S2" s="129"/>
      <c r="T2" s="1019">
        <f>SUM(T4:T103)</f>
        <v>1053.91</v>
      </c>
      <c r="U2" s="1020"/>
      <c r="V2" s="1021" t="s">
        <v>202</v>
      </c>
      <c r="W2" s="1022" t="s">
        <v>203</v>
      </c>
      <c r="X2" s="1023">
        <f t="shared" ref="X2:AC2" si="0">SUM(X4:X166)</f>
        <v>14414.89</v>
      </c>
      <c r="Y2" s="1023">
        <f t="shared" si="0"/>
        <v>0</v>
      </c>
      <c r="Z2" s="1023">
        <f t="shared" si="0"/>
        <v>132187.60902</v>
      </c>
      <c r="AA2" s="1023">
        <f t="shared" si="0"/>
        <v>0</v>
      </c>
      <c r="AB2" s="1023">
        <f t="shared" si="0"/>
        <v>0</v>
      </c>
      <c r="AC2" s="1023">
        <f t="shared" si="0"/>
        <v>250603.341998376</v>
      </c>
      <c r="AD2" s="466">
        <f>SUM(X2:AC2)+T2</f>
        <v>398259.751018376</v>
      </c>
    </row>
    <row r="3" ht="13.75" customHeight="1" spans="1:30">
      <c r="A3" s="1024">
        <v>46265</v>
      </c>
      <c r="B3" s="1025" t="s">
        <v>204</v>
      </c>
      <c r="C3" s="1026"/>
      <c r="D3" s="1027" t="s">
        <v>103</v>
      </c>
      <c r="E3" s="1028"/>
      <c r="F3" s="1029"/>
      <c r="G3" s="1029">
        <f>'CTM Expenses List'!AA2</f>
        <v>29908</v>
      </c>
      <c r="H3" s="1030">
        <v>1</v>
      </c>
      <c r="I3" s="1031">
        <f>-G3</f>
        <v>-29908</v>
      </c>
      <c r="J3" s="1032">
        <v>6000007</v>
      </c>
      <c r="K3" s="1033">
        <v>46265</v>
      </c>
      <c r="L3" s="1031">
        <f>I3</f>
        <v>-29908</v>
      </c>
      <c r="M3" s="1031">
        <f>L3</f>
        <v>-29908</v>
      </c>
      <c r="N3" s="1034"/>
      <c r="O3" s="1028"/>
      <c r="P3" s="1028"/>
      <c r="Q3" s="1035"/>
      <c r="R3" s="1036"/>
      <c r="S3" s="1037" t="s">
        <v>87</v>
      </c>
      <c r="T3" s="1029"/>
      <c r="U3" s="1028"/>
      <c r="V3" s="1028"/>
      <c r="W3" s="1038"/>
      <c r="X3" s="1039" t="str">
        <f t="shared" ref="X3:X9" si="1">IF(S3="Accrual",M3,"")</f>
        <v/>
      </c>
      <c r="Y3" s="1040" t="str">
        <f t="shared" ref="Y3:Y9" si="2">IF(S3="Receiving",M3,"")</f>
        <v/>
      </c>
      <c r="Z3" s="1041" t="str">
        <f t="shared" ref="Z3:Z9" si="3">IF(S3="Received",M3,"")</f>
        <v/>
      </c>
      <c r="AA3" s="1041" t="str">
        <f t="shared" ref="AA3:AA9" si="4">IF(S3="Approved",M3,"")</f>
        <v/>
      </c>
      <c r="AB3" s="1041" t="str">
        <f t="shared" ref="AB3:AB9" si="5">IF(S3="Paying",M3,"")</f>
        <v/>
      </c>
      <c r="AC3" s="1042">
        <f t="shared" ref="AC3:AC10" si="6">IF(S3="Completed",M3,"")</f>
        <v>-29908</v>
      </c>
    </row>
    <row r="4" ht="12.5" spans="1:30">
      <c r="A4" s="1043"/>
      <c r="B4" s="724"/>
      <c r="C4" s="725"/>
      <c r="D4" s="724"/>
      <c r="E4" s="725"/>
      <c r="F4" s="726"/>
      <c r="G4" s="726"/>
      <c r="H4" s="727"/>
      <c r="I4" s="728"/>
      <c r="J4" s="724"/>
      <c r="K4" s="730"/>
      <c r="L4" s="728"/>
      <c r="M4" s="728"/>
      <c r="N4" s="724"/>
      <c r="O4" s="724"/>
      <c r="P4" s="724"/>
      <c r="Q4" s="730"/>
      <c r="R4" s="730"/>
      <c r="S4" s="725"/>
      <c r="T4" s="726"/>
      <c r="U4" s="724"/>
      <c r="V4" s="724"/>
      <c r="W4" s="1044"/>
      <c r="X4" s="1045" t="str">
        <f t="shared" si="1"/>
        <v/>
      </c>
      <c r="Y4" s="1046" t="str">
        <f t="shared" si="2"/>
        <v/>
      </c>
      <c r="Z4" s="1047" t="str">
        <f t="shared" si="3"/>
        <v/>
      </c>
      <c r="AA4" s="1047" t="str">
        <f t="shared" si="4"/>
        <v/>
      </c>
      <c r="AB4" s="1047" t="str">
        <f t="shared" si="5"/>
        <v/>
      </c>
      <c r="AC4" s="1048" t="str">
        <f t="shared" si="6"/>
        <v/>
      </c>
    </row>
    <row r="5" ht="12.5" spans="1:30">
      <c r="A5" s="723">
        <v>46309</v>
      </c>
      <c r="B5" s="724" t="s">
        <v>205</v>
      </c>
      <c r="C5" s="725"/>
      <c r="D5" s="724" t="s">
        <v>206</v>
      </c>
      <c r="E5" s="725"/>
      <c r="F5" s="726"/>
      <c r="G5" s="726">
        <v>77881.96</v>
      </c>
      <c r="H5" s="727">
        <v>1</v>
      </c>
      <c r="I5" s="728">
        <f t="shared" ref="I5:I10" si="7">G5*H5</f>
        <v>77881.96</v>
      </c>
      <c r="J5" s="729">
        <v>1000001</v>
      </c>
      <c r="K5" s="730">
        <f>A5</f>
        <v>46309</v>
      </c>
      <c r="L5" s="728">
        <f t="shared" ref="L5:L10" si="8">I5</f>
        <v>77881.96</v>
      </c>
      <c r="M5" s="728">
        <f t="shared" ref="M5:M13" si="9">L5</f>
        <v>77881.96</v>
      </c>
      <c r="N5" s="724"/>
      <c r="O5" s="724"/>
      <c r="P5" s="724"/>
      <c r="Q5" s="730"/>
      <c r="R5" s="730"/>
      <c r="S5" s="725" t="s">
        <v>84</v>
      </c>
      <c r="T5" s="726"/>
      <c r="U5" s="724"/>
      <c r="V5" s="724"/>
      <c r="W5" s="1044"/>
      <c r="X5" s="1045" t="str">
        <f t="shared" si="1"/>
        <v/>
      </c>
      <c r="Y5" s="1046" t="str">
        <f t="shared" si="2"/>
        <v/>
      </c>
      <c r="Z5" s="1047">
        <f t="shared" si="3"/>
        <v>77881.96</v>
      </c>
      <c r="AA5" s="1047" t="str">
        <f t="shared" si="4"/>
        <v/>
      </c>
      <c r="AB5" s="1047" t="str">
        <f t="shared" si="5"/>
        <v/>
      </c>
      <c r="AC5" s="1048" t="str">
        <f t="shared" si="6"/>
        <v/>
      </c>
    </row>
    <row r="6" ht="12.5" spans="1:30">
      <c r="A6" s="723">
        <v>46295</v>
      </c>
      <c r="B6" s="724" t="s">
        <v>207</v>
      </c>
      <c r="C6" s="725"/>
      <c r="D6" s="724" t="s">
        <v>208</v>
      </c>
      <c r="E6" s="725"/>
      <c r="F6" s="726"/>
      <c r="G6" s="726">
        <v>2600</v>
      </c>
      <c r="H6" s="727">
        <v>1</v>
      </c>
      <c r="I6" s="728">
        <f t="shared" si="7"/>
        <v>2600</v>
      </c>
      <c r="J6" s="724"/>
      <c r="K6" s="730"/>
      <c r="L6" s="728">
        <f t="shared" si="8"/>
        <v>2600</v>
      </c>
      <c r="M6" s="728">
        <f t="shared" si="9"/>
        <v>2600</v>
      </c>
      <c r="N6" s="724"/>
      <c r="O6" s="724"/>
      <c r="P6" s="724"/>
      <c r="Q6" s="730"/>
      <c r="R6" s="730"/>
      <c r="S6" s="725" t="s">
        <v>87</v>
      </c>
      <c r="T6" s="726">
        <v>20</v>
      </c>
      <c r="U6" s="724"/>
      <c r="V6" s="724"/>
      <c r="W6" s="1044"/>
      <c r="X6" s="1045" t="str">
        <f t="shared" si="1"/>
        <v/>
      </c>
      <c r="Y6" s="1046" t="str">
        <f t="shared" si="2"/>
        <v/>
      </c>
      <c r="Z6" s="1047" t="str">
        <f t="shared" si="3"/>
        <v/>
      </c>
      <c r="AA6" s="1047" t="str">
        <f t="shared" si="4"/>
        <v/>
      </c>
      <c r="AB6" s="1047" t="str">
        <f t="shared" si="5"/>
        <v/>
      </c>
      <c r="AC6" s="1048">
        <f t="shared" si="6"/>
        <v>2600</v>
      </c>
    </row>
    <row r="7" s="70" customFormat="1" spans="1:30">
      <c r="A7" s="1049">
        <v>46295</v>
      </c>
      <c r="B7" s="1050" t="s">
        <v>209</v>
      </c>
      <c r="C7" s="1051"/>
      <c r="D7" s="1052" t="s">
        <v>79</v>
      </c>
      <c r="E7" s="1053"/>
      <c r="F7" s="724"/>
      <c r="G7" s="1054">
        <v>249</v>
      </c>
      <c r="H7" s="727">
        <v>1</v>
      </c>
      <c r="I7" s="728">
        <f t="shared" si="7"/>
        <v>249</v>
      </c>
      <c r="J7" s="729">
        <v>6000002</v>
      </c>
      <c r="K7" s="730">
        <f>A7</f>
        <v>46295</v>
      </c>
      <c r="L7" s="728">
        <f t="shared" si="8"/>
        <v>249</v>
      </c>
      <c r="M7" s="728">
        <f t="shared" si="9"/>
        <v>249</v>
      </c>
      <c r="N7" s="724"/>
      <c r="O7" s="724"/>
      <c r="P7" s="724"/>
      <c r="Q7" s="730"/>
      <c r="R7" s="730"/>
      <c r="S7" s="1055" t="s">
        <v>87</v>
      </c>
      <c r="T7" s="1056"/>
      <c r="U7" s="724"/>
      <c r="V7" s="724"/>
      <c r="W7" s="1044"/>
      <c r="X7" s="1045" t="str">
        <f t="shared" si="1"/>
        <v/>
      </c>
      <c r="Y7" s="1046" t="str">
        <f t="shared" si="2"/>
        <v/>
      </c>
      <c r="Z7" s="1047" t="str">
        <f t="shared" si="3"/>
        <v/>
      </c>
      <c r="AA7" s="1047" t="str">
        <f t="shared" si="4"/>
        <v/>
      </c>
      <c r="AB7" s="1047" t="str">
        <f t="shared" si="5"/>
        <v/>
      </c>
      <c r="AC7" s="1048">
        <f t="shared" si="6"/>
        <v>249</v>
      </c>
    </row>
    <row r="8" s="70" customFormat="1" spans="1:30">
      <c r="A8" s="1049">
        <v>46295</v>
      </c>
      <c r="B8" s="1050" t="s">
        <v>210</v>
      </c>
      <c r="C8" s="1051"/>
      <c r="D8" s="1052" t="s">
        <v>79</v>
      </c>
      <c r="E8" s="1053"/>
      <c r="F8" s="724"/>
      <c r="G8" s="1054">
        <v>5592</v>
      </c>
      <c r="H8" s="727">
        <v>1</v>
      </c>
      <c r="I8" s="728">
        <f t="shared" si="7"/>
        <v>5592</v>
      </c>
      <c r="J8" s="1057">
        <v>1000002</v>
      </c>
      <c r="K8" s="730">
        <f>A8</f>
        <v>46295</v>
      </c>
      <c r="L8" s="728">
        <f t="shared" si="8"/>
        <v>5592</v>
      </c>
      <c r="M8" s="728">
        <f t="shared" si="9"/>
        <v>5592</v>
      </c>
      <c r="N8" s="724"/>
      <c r="O8" s="724"/>
      <c r="P8" s="724"/>
      <c r="Q8" s="730"/>
      <c r="R8" s="730"/>
      <c r="S8" s="1055" t="s">
        <v>87</v>
      </c>
      <c r="T8" s="725"/>
      <c r="U8" s="724"/>
      <c r="V8" s="724"/>
      <c r="W8" s="1044"/>
      <c r="X8" s="1045" t="str">
        <f t="shared" si="1"/>
        <v/>
      </c>
      <c r="Y8" s="1046" t="str">
        <f t="shared" si="2"/>
        <v/>
      </c>
      <c r="Z8" s="1047" t="str">
        <f t="shared" si="3"/>
        <v/>
      </c>
      <c r="AA8" s="1047" t="str">
        <f t="shared" si="4"/>
        <v/>
      </c>
      <c r="AB8" s="1047" t="str">
        <f t="shared" si="5"/>
        <v/>
      </c>
      <c r="AC8" s="1048">
        <f t="shared" si="6"/>
        <v>5592</v>
      </c>
    </row>
    <row r="9" ht="12.5" spans="1:30">
      <c r="A9" s="1058">
        <v>46293</v>
      </c>
      <c r="B9" s="724" t="s">
        <v>211</v>
      </c>
      <c r="C9" s="725"/>
      <c r="D9" s="724" t="s">
        <v>212</v>
      </c>
      <c r="E9" s="725"/>
      <c r="F9" s="726"/>
      <c r="G9" s="726">
        <v>1660</v>
      </c>
      <c r="H9" s="727">
        <v>1</v>
      </c>
      <c r="I9" s="728">
        <f t="shared" si="7"/>
        <v>1660</v>
      </c>
      <c r="J9" s="729">
        <v>4000014</v>
      </c>
      <c r="K9" s="730"/>
      <c r="L9" s="728">
        <f t="shared" si="8"/>
        <v>1660</v>
      </c>
      <c r="M9" s="728">
        <f t="shared" si="9"/>
        <v>1660</v>
      </c>
      <c r="N9" s="724"/>
      <c r="O9" s="724"/>
      <c r="P9" s="724"/>
      <c r="Q9" s="730"/>
      <c r="R9" s="730"/>
      <c r="S9" s="725" t="s">
        <v>87</v>
      </c>
      <c r="T9" s="726">
        <v>20</v>
      </c>
      <c r="U9" s="724"/>
      <c r="V9" s="724"/>
      <c r="W9" s="1044"/>
      <c r="X9" s="1045" t="str">
        <f t="shared" si="1"/>
        <v/>
      </c>
      <c r="Y9" s="1046" t="str">
        <f t="shared" si="2"/>
        <v/>
      </c>
      <c r="Z9" s="1047" t="str">
        <f t="shared" si="3"/>
        <v/>
      </c>
      <c r="AA9" s="1047" t="str">
        <f t="shared" si="4"/>
        <v/>
      </c>
      <c r="AB9" s="1047" t="str">
        <f t="shared" si="5"/>
        <v/>
      </c>
      <c r="AC9" s="1048">
        <f t="shared" si="6"/>
        <v>1660</v>
      </c>
    </row>
    <row r="10" ht="12.5" spans="1:30">
      <c r="A10" s="723">
        <v>46293</v>
      </c>
      <c r="B10" s="724" t="s">
        <v>213</v>
      </c>
      <c r="C10" s="725"/>
      <c r="D10" s="724" t="s">
        <v>214</v>
      </c>
      <c r="E10" s="725"/>
      <c r="F10" s="726"/>
      <c r="G10" s="726">
        <v>-9500</v>
      </c>
      <c r="H10" s="727">
        <v>1</v>
      </c>
      <c r="I10" s="728">
        <f t="shared" si="7"/>
        <v>-9500</v>
      </c>
      <c r="J10" s="724"/>
      <c r="K10" s="730"/>
      <c r="L10" s="728">
        <f t="shared" si="8"/>
        <v>-9500</v>
      </c>
      <c r="M10" s="728">
        <f t="shared" si="9"/>
        <v>-9500</v>
      </c>
      <c r="N10" s="724"/>
      <c r="O10" s="724"/>
      <c r="P10" s="724"/>
      <c r="Q10" s="730"/>
      <c r="R10" s="730"/>
      <c r="S10" s="725" t="s">
        <v>87</v>
      </c>
      <c r="T10" s="726">
        <v>-20</v>
      </c>
      <c r="U10" s="724"/>
      <c r="V10" s="724"/>
      <c r="W10" s="1044"/>
      <c r="X10" s="1045"/>
      <c r="Y10" s="1046"/>
      <c r="Z10" s="1047"/>
      <c r="AA10" s="1047"/>
      <c r="AB10" s="1047"/>
      <c r="AC10" s="1048">
        <f t="shared" si="6"/>
        <v>-9500</v>
      </c>
    </row>
    <row r="11" ht="12.5" spans="1:30">
      <c r="A11" s="1058">
        <v>46293</v>
      </c>
      <c r="B11" s="724" t="s">
        <v>215</v>
      </c>
      <c r="C11" s="725"/>
      <c r="D11" s="724" t="s">
        <v>214</v>
      </c>
      <c r="E11" s="725"/>
      <c r="F11" s="726"/>
      <c r="G11" s="726">
        <v>9500</v>
      </c>
      <c r="H11" s="727">
        <v>1</v>
      </c>
      <c r="I11" s="728">
        <f t="shared" ref="I6:I17" si="10">G11*H11</f>
        <v>9500</v>
      </c>
      <c r="J11" s="724"/>
      <c r="K11" s="730"/>
      <c r="L11" s="728">
        <f t="shared" ref="L6:L17" si="11">I11</f>
        <v>9500</v>
      </c>
      <c r="M11" s="728">
        <f t="shared" si="9"/>
        <v>9500</v>
      </c>
      <c r="N11" s="724"/>
      <c r="O11" s="724"/>
      <c r="P11" s="724"/>
      <c r="Q11" s="730"/>
      <c r="R11" s="730"/>
      <c r="S11" s="725" t="s">
        <v>87</v>
      </c>
      <c r="T11" s="726">
        <v>20</v>
      </c>
      <c r="U11" s="724"/>
      <c r="V11" s="724"/>
      <c r="W11" s="1044"/>
      <c r="X11" s="1045" t="str">
        <f t="shared" ref="X7:X23" si="12">IF(S11="Accrual",M11,"")</f>
        <v/>
      </c>
      <c r="Y11" s="1046" t="str">
        <f t="shared" ref="Y7:Y23" si="13">IF(S11="Receiving",M11,"")</f>
        <v/>
      </c>
      <c r="Z11" s="1047" t="str">
        <f t="shared" ref="Z7:Z24" si="14">IF(S11="Received",M11,"")</f>
        <v/>
      </c>
      <c r="AA11" s="1047" t="str">
        <f t="shared" ref="AA7:AA23" si="15">IF(S11="Approved",M11,"")</f>
        <v/>
      </c>
      <c r="AB11" s="1047" t="str">
        <f t="shared" ref="AB7:AB23" si="16">IF(S11="Paying",M11,"")</f>
        <v/>
      </c>
      <c r="AC11" s="1048">
        <f t="shared" ref="AC7:AC23" si="17">IF(S11="Completed",M11,"")</f>
        <v>9500</v>
      </c>
    </row>
    <row r="12" ht="12.5" spans="1:30">
      <c r="A12" s="1058">
        <v>46289</v>
      </c>
      <c r="B12" s="724" t="s">
        <v>216</v>
      </c>
      <c r="C12" s="725"/>
      <c r="D12" s="1059" t="s">
        <v>217</v>
      </c>
      <c r="E12" s="725"/>
      <c r="F12" s="726"/>
      <c r="G12" s="1060">
        <v>8487.98</v>
      </c>
      <c r="H12" s="727">
        <v>0.149</v>
      </c>
      <c r="I12" s="728">
        <f t="shared" si="10"/>
        <v>1264.70902</v>
      </c>
      <c r="J12" s="729">
        <v>6000017</v>
      </c>
      <c r="K12" s="730"/>
      <c r="L12" s="728">
        <f t="shared" si="11"/>
        <v>1264.70902</v>
      </c>
      <c r="M12" s="728">
        <f t="shared" si="9"/>
        <v>1264.70902</v>
      </c>
      <c r="N12" s="724"/>
      <c r="O12" s="724"/>
      <c r="P12" s="724"/>
      <c r="Q12" s="730"/>
      <c r="R12" s="730"/>
      <c r="S12" s="725" t="s">
        <v>84</v>
      </c>
      <c r="T12" s="726"/>
      <c r="U12" s="724"/>
      <c r="V12" s="724"/>
      <c r="W12" s="1044"/>
      <c r="X12" s="1045" t="str">
        <f t="shared" si="12"/>
        <v/>
      </c>
      <c r="Y12" s="1046" t="str">
        <f t="shared" si="13"/>
        <v/>
      </c>
      <c r="Z12" s="1047">
        <f t="shared" si="14"/>
        <v>1264.70902</v>
      </c>
      <c r="AA12" s="1047" t="str">
        <f t="shared" si="15"/>
        <v/>
      </c>
      <c r="AB12" s="1047" t="str">
        <f t="shared" si="16"/>
        <v/>
      </c>
      <c r="AC12" s="1048" t="str">
        <f t="shared" si="17"/>
        <v/>
      </c>
    </row>
    <row r="13" s="467" customFormat="1" ht="12.5" spans="1:30">
      <c r="A13" s="1061">
        <v>46289</v>
      </c>
      <c r="B13" s="1062" t="s">
        <v>218</v>
      </c>
      <c r="C13" s="1063"/>
      <c r="D13" s="1062"/>
      <c r="E13" s="1063"/>
      <c r="F13" s="1064"/>
      <c r="G13" s="760">
        <f>157197.89+70000</f>
        <v>227197.89</v>
      </c>
      <c r="H13" s="761">
        <v>0.14937855276022</v>
      </c>
      <c r="I13" s="765">
        <f t="shared" si="10"/>
        <v>33938.4919983757</v>
      </c>
      <c r="J13" s="1065">
        <v>6000016</v>
      </c>
      <c r="K13" s="1066"/>
      <c r="L13" s="1067">
        <f t="shared" si="11"/>
        <v>33938.4919983757</v>
      </c>
      <c r="M13" s="1067">
        <f t="shared" si="9"/>
        <v>33938.4919983757</v>
      </c>
      <c r="N13" s="1062"/>
      <c r="O13" s="1062"/>
      <c r="P13" s="1062"/>
      <c r="Q13" s="1066"/>
      <c r="R13" s="1066"/>
      <c r="S13" s="1063" t="s">
        <v>87</v>
      </c>
      <c r="T13" s="1064">
        <v>120</v>
      </c>
      <c r="U13" s="1062"/>
      <c r="V13" s="1062"/>
      <c r="W13" s="1068"/>
      <c r="X13" s="1069" t="str">
        <f t="shared" si="12"/>
        <v/>
      </c>
      <c r="Y13" s="1070" t="str">
        <f t="shared" si="13"/>
        <v/>
      </c>
      <c r="Z13" s="1071" t="str">
        <f t="shared" si="14"/>
        <v/>
      </c>
      <c r="AA13" s="1071" t="str">
        <f t="shared" si="15"/>
        <v/>
      </c>
      <c r="AB13" s="1071" t="str">
        <f t="shared" si="16"/>
        <v/>
      </c>
      <c r="AC13" s="1072">
        <f t="shared" si="17"/>
        <v>33938.4919983757</v>
      </c>
    </row>
    <row r="14" ht="12.5" spans="1:30">
      <c r="A14" s="1058">
        <v>46286</v>
      </c>
      <c r="B14" s="724" t="s">
        <v>219</v>
      </c>
      <c r="C14" s="725"/>
      <c r="D14" s="724" t="s">
        <v>220</v>
      </c>
      <c r="E14" s="725"/>
      <c r="F14" s="726"/>
      <c r="G14" s="726">
        <v>300</v>
      </c>
      <c r="H14" s="727">
        <v>1</v>
      </c>
      <c r="I14" s="728">
        <f t="shared" si="10"/>
        <v>300</v>
      </c>
      <c r="J14" s="729">
        <v>9000005</v>
      </c>
      <c r="K14" s="730"/>
      <c r="L14" s="728">
        <f t="shared" si="11"/>
        <v>300</v>
      </c>
      <c r="M14" s="728">
        <f t="shared" ref="M14:M23" si="18">L14</f>
        <v>300</v>
      </c>
      <c r="N14" s="724"/>
      <c r="O14" s="724"/>
      <c r="P14" s="724"/>
      <c r="Q14" s="730">
        <v>46285</v>
      </c>
      <c r="R14" s="730"/>
      <c r="S14" s="725" t="s">
        <v>87</v>
      </c>
      <c r="T14" s="726"/>
      <c r="U14" s="724"/>
      <c r="V14" s="724"/>
      <c r="W14" s="1044"/>
      <c r="X14" s="1045" t="str">
        <f t="shared" si="12"/>
        <v/>
      </c>
      <c r="Y14" s="1046" t="str">
        <f t="shared" si="13"/>
        <v/>
      </c>
      <c r="Z14" s="1047" t="str">
        <f t="shared" si="14"/>
        <v/>
      </c>
      <c r="AA14" s="1047" t="str">
        <f t="shared" si="15"/>
        <v/>
      </c>
      <c r="AB14" s="1047" t="str">
        <f t="shared" si="16"/>
        <v/>
      </c>
      <c r="AC14" s="1048">
        <f t="shared" si="17"/>
        <v>300</v>
      </c>
    </row>
    <row r="15" ht="12.5" spans="1:30">
      <c r="A15" s="1058">
        <v>46286</v>
      </c>
      <c r="B15" s="724" t="s">
        <v>221</v>
      </c>
      <c r="C15" s="725"/>
      <c r="D15" s="724" t="s">
        <v>220</v>
      </c>
      <c r="E15" s="725"/>
      <c r="F15" s="726"/>
      <c r="G15" s="726">
        <v>1050</v>
      </c>
      <c r="H15" s="727">
        <v>1</v>
      </c>
      <c r="I15" s="728">
        <f t="shared" si="10"/>
        <v>1050</v>
      </c>
      <c r="J15" s="729">
        <v>9000005</v>
      </c>
      <c r="K15" s="730"/>
      <c r="L15" s="728">
        <f t="shared" si="11"/>
        <v>1050</v>
      </c>
      <c r="M15" s="728">
        <f t="shared" si="18"/>
        <v>1050</v>
      </c>
      <c r="N15" s="724"/>
      <c r="O15" s="724"/>
      <c r="P15" s="724"/>
      <c r="Q15" s="730">
        <v>46183</v>
      </c>
      <c r="R15" s="730">
        <v>46254</v>
      </c>
      <c r="S15" s="725" t="s">
        <v>87</v>
      </c>
      <c r="T15" s="726">
        <v>20</v>
      </c>
      <c r="U15" s="724"/>
      <c r="V15" s="724"/>
      <c r="W15" s="1044"/>
      <c r="X15" s="1045" t="str">
        <f t="shared" si="12"/>
        <v/>
      </c>
      <c r="Y15" s="1046" t="str">
        <f t="shared" si="13"/>
        <v/>
      </c>
      <c r="Z15" s="1047" t="str">
        <f t="shared" si="14"/>
        <v/>
      </c>
      <c r="AA15" s="1047" t="str">
        <f t="shared" si="15"/>
        <v/>
      </c>
      <c r="AB15" s="1047" t="str">
        <f t="shared" si="16"/>
        <v/>
      </c>
      <c r="AC15" s="1048">
        <f t="shared" si="17"/>
        <v>1050</v>
      </c>
    </row>
    <row r="16" s="70" customFormat="1" spans="1:30">
      <c r="A16" s="1049">
        <v>46286</v>
      </c>
      <c r="B16" s="1050" t="s">
        <v>222</v>
      </c>
      <c r="C16" s="1051"/>
      <c r="D16" s="1052" t="s">
        <v>79</v>
      </c>
      <c r="E16" s="1053"/>
      <c r="F16" s="724"/>
      <c r="G16" s="1054">
        <v>149</v>
      </c>
      <c r="H16" s="727">
        <v>1</v>
      </c>
      <c r="I16" s="728">
        <f t="shared" si="10"/>
        <v>149</v>
      </c>
      <c r="J16" s="729">
        <v>7000009</v>
      </c>
      <c r="K16" s="730">
        <f>A16</f>
        <v>46286</v>
      </c>
      <c r="L16" s="728">
        <f t="shared" si="11"/>
        <v>149</v>
      </c>
      <c r="M16" s="728">
        <f t="shared" si="18"/>
        <v>149</v>
      </c>
      <c r="N16" s="724"/>
      <c r="O16" s="724"/>
      <c r="P16" s="724"/>
      <c r="Q16" s="730"/>
      <c r="R16" s="730"/>
      <c r="S16" s="1055" t="s">
        <v>87</v>
      </c>
      <c r="T16" s="725"/>
      <c r="U16" s="724"/>
      <c r="V16" s="724"/>
      <c r="W16" s="1044"/>
      <c r="X16" s="1045" t="str">
        <f t="shared" si="12"/>
        <v/>
      </c>
      <c r="Y16" s="1046" t="str">
        <f t="shared" si="13"/>
        <v/>
      </c>
      <c r="Z16" s="1047" t="str">
        <f t="shared" si="14"/>
        <v/>
      </c>
      <c r="AA16" s="1047" t="str">
        <f t="shared" si="15"/>
        <v/>
      </c>
      <c r="AB16" s="1047" t="str">
        <f t="shared" si="16"/>
        <v/>
      </c>
      <c r="AC16" s="1048">
        <f t="shared" si="17"/>
        <v>149</v>
      </c>
    </row>
    <row r="17" s="70" customFormat="1" spans="1:30">
      <c r="A17" s="1049">
        <v>46286</v>
      </c>
      <c r="B17" s="1050" t="s">
        <v>223</v>
      </c>
      <c r="C17" s="1051"/>
      <c r="D17" s="1052" t="s">
        <v>79</v>
      </c>
      <c r="E17" s="1053"/>
      <c r="F17" s="724"/>
      <c r="G17" s="1054">
        <v>3000</v>
      </c>
      <c r="H17" s="727">
        <v>1</v>
      </c>
      <c r="I17" s="728">
        <f t="shared" si="10"/>
        <v>3000</v>
      </c>
      <c r="J17" s="729">
        <v>10000007</v>
      </c>
      <c r="K17" s="730">
        <f>A17</f>
        <v>46286</v>
      </c>
      <c r="L17" s="728">
        <f t="shared" si="11"/>
        <v>3000</v>
      </c>
      <c r="M17" s="728">
        <f t="shared" si="18"/>
        <v>3000</v>
      </c>
      <c r="N17" s="724"/>
      <c r="O17" s="724"/>
      <c r="P17" s="724"/>
      <c r="Q17" s="730"/>
      <c r="R17" s="730"/>
      <c r="S17" s="1055" t="s">
        <v>87</v>
      </c>
      <c r="T17" s="725"/>
      <c r="U17" s="724"/>
      <c r="V17" s="724"/>
      <c r="W17" s="1044"/>
      <c r="X17" s="1045" t="str">
        <f t="shared" si="12"/>
        <v/>
      </c>
      <c r="Y17" s="1046" t="str">
        <f t="shared" si="13"/>
        <v/>
      </c>
      <c r="Z17" s="1047" t="str">
        <f t="shared" si="14"/>
        <v/>
      </c>
      <c r="AA17" s="1047" t="str">
        <f t="shared" si="15"/>
        <v/>
      </c>
      <c r="AB17" s="1047" t="str">
        <f t="shared" si="16"/>
        <v/>
      </c>
      <c r="AC17" s="1048">
        <f t="shared" si="17"/>
        <v>3000</v>
      </c>
    </row>
    <row r="18" ht="12.5" spans="1:30">
      <c r="A18" s="1058">
        <v>46285</v>
      </c>
      <c r="B18" s="724" t="s">
        <v>224</v>
      </c>
      <c r="C18" s="725" t="s">
        <v>225</v>
      </c>
      <c r="D18" s="724" t="s">
        <v>226</v>
      </c>
      <c r="E18" s="725" t="s">
        <v>227</v>
      </c>
      <c r="F18" s="726"/>
      <c r="G18" s="726">
        <v>4113.43</v>
      </c>
      <c r="H18" s="727">
        <v>1</v>
      </c>
      <c r="I18" s="728">
        <v>4113.43</v>
      </c>
      <c r="J18" s="725">
        <v>2000005</v>
      </c>
      <c r="K18" s="730"/>
      <c r="L18" s="728">
        <v>4113.43</v>
      </c>
      <c r="M18" s="728">
        <f t="shared" si="18"/>
        <v>4113.43</v>
      </c>
      <c r="N18" s="724"/>
      <c r="O18" s="724"/>
      <c r="P18" s="724"/>
      <c r="Q18" s="730">
        <v>46283</v>
      </c>
      <c r="R18" s="730">
        <v>46313</v>
      </c>
      <c r="S18" s="725" t="s">
        <v>84</v>
      </c>
      <c r="T18" s="726"/>
      <c r="U18" s="724"/>
      <c r="V18" s="724"/>
      <c r="W18" s="1044"/>
      <c r="X18" s="1045" t="str">
        <f t="shared" si="12"/>
        <v/>
      </c>
      <c r="Y18" s="1046" t="str">
        <f t="shared" si="13"/>
        <v/>
      </c>
      <c r="Z18" s="1047">
        <f t="shared" si="14"/>
        <v>4113.43</v>
      </c>
      <c r="AA18" s="1047" t="str">
        <f t="shared" si="15"/>
        <v/>
      </c>
      <c r="AB18" s="1047" t="str">
        <f t="shared" si="16"/>
        <v/>
      </c>
      <c r="AC18" s="1048" t="str">
        <f t="shared" si="17"/>
        <v/>
      </c>
    </row>
    <row r="19" s="467" customFormat="1" ht="12.5" spans="1:30">
      <c r="A19" s="1061">
        <v>46284</v>
      </c>
      <c r="B19" s="1062" t="s">
        <v>228</v>
      </c>
      <c r="C19" s="1063"/>
      <c r="D19" s="1062"/>
      <c r="E19" s="1062"/>
      <c r="F19" s="1062"/>
      <c r="G19" s="1064">
        <v>522.51</v>
      </c>
      <c r="H19" s="1073">
        <v>1</v>
      </c>
      <c r="I19" s="1067">
        <f>G19*H19</f>
        <v>522.51</v>
      </c>
      <c r="J19" s="1065">
        <v>4000002</v>
      </c>
      <c r="K19" s="1066"/>
      <c r="L19" s="1067">
        <f>I19</f>
        <v>522.51</v>
      </c>
      <c r="M19" s="1067">
        <f t="shared" si="18"/>
        <v>522.51</v>
      </c>
      <c r="N19" s="1062"/>
      <c r="O19" s="1062"/>
      <c r="P19" s="1062"/>
      <c r="Q19" s="1066"/>
      <c r="R19" s="1066"/>
      <c r="S19" s="1063" t="s">
        <v>87</v>
      </c>
      <c r="T19" s="1064"/>
      <c r="U19" s="1062"/>
      <c r="V19" s="1062"/>
      <c r="W19" s="1068"/>
      <c r="X19" s="1069" t="str">
        <f t="shared" si="12"/>
        <v/>
      </c>
      <c r="Y19" s="1070" t="str">
        <f t="shared" si="13"/>
        <v/>
      </c>
      <c r="Z19" s="1071" t="str">
        <f t="shared" si="14"/>
        <v/>
      </c>
      <c r="AA19" s="1071" t="str">
        <f t="shared" si="15"/>
        <v/>
      </c>
      <c r="AB19" s="1071" t="str">
        <f t="shared" si="16"/>
        <v/>
      </c>
      <c r="AC19" s="1072">
        <f t="shared" si="17"/>
        <v>522.51</v>
      </c>
    </row>
    <row r="20" s="70" customFormat="1" spans="1:30">
      <c r="A20" s="1049">
        <v>46284</v>
      </c>
      <c r="B20" s="1050" t="s">
        <v>229</v>
      </c>
      <c r="C20" s="1051"/>
      <c r="D20" s="1052" t="s">
        <v>79</v>
      </c>
      <c r="E20" s="1053"/>
      <c r="F20" s="724"/>
      <c r="G20" s="1054">
        <v>300</v>
      </c>
      <c r="H20" s="727">
        <v>1</v>
      </c>
      <c r="I20" s="728">
        <f>G20*H20</f>
        <v>300</v>
      </c>
      <c r="J20" s="729">
        <v>6000001</v>
      </c>
      <c r="K20" s="730">
        <f>A20</f>
        <v>46284</v>
      </c>
      <c r="L20" s="728">
        <f>I20</f>
        <v>300</v>
      </c>
      <c r="M20" s="728">
        <f t="shared" si="18"/>
        <v>300</v>
      </c>
      <c r="N20" s="724"/>
      <c r="O20" s="724"/>
      <c r="P20" s="724"/>
      <c r="Q20" s="730"/>
      <c r="R20" s="730"/>
      <c r="S20" s="1055" t="s">
        <v>87</v>
      </c>
      <c r="T20" s="725"/>
      <c r="U20" s="724"/>
      <c r="V20" s="724"/>
      <c r="W20" s="1044"/>
      <c r="X20" s="1045" t="str">
        <f t="shared" si="12"/>
        <v/>
      </c>
      <c r="Y20" s="1046" t="str">
        <f t="shared" si="13"/>
        <v/>
      </c>
      <c r="Z20" s="1047" t="str">
        <f t="shared" si="14"/>
        <v/>
      </c>
      <c r="AA20" s="1047" t="str">
        <f t="shared" si="15"/>
        <v/>
      </c>
      <c r="AB20" s="1047" t="str">
        <f t="shared" si="16"/>
        <v/>
      </c>
      <c r="AC20" s="1048">
        <f t="shared" si="17"/>
        <v>300</v>
      </c>
    </row>
    <row r="21" s="70" customFormat="1" spans="1:30">
      <c r="A21" s="1049">
        <v>46284</v>
      </c>
      <c r="B21" s="1050" t="s">
        <v>230</v>
      </c>
      <c r="C21" s="1051"/>
      <c r="D21" s="1052" t="s">
        <v>79</v>
      </c>
      <c r="E21" s="1053"/>
      <c r="F21" s="724"/>
      <c r="G21" s="1054">
        <v>1010</v>
      </c>
      <c r="H21" s="727">
        <v>1</v>
      </c>
      <c r="I21" s="728">
        <f>G21*H21</f>
        <v>1010</v>
      </c>
      <c r="J21" s="1074">
        <v>6000020</v>
      </c>
      <c r="K21" s="730">
        <f>A21</f>
        <v>46284</v>
      </c>
      <c r="L21" s="728">
        <f>I21</f>
        <v>1010</v>
      </c>
      <c r="M21" s="728">
        <f t="shared" si="18"/>
        <v>1010</v>
      </c>
      <c r="N21" s="724"/>
      <c r="O21" s="724"/>
      <c r="P21" s="724"/>
      <c r="Q21" s="730"/>
      <c r="R21" s="730"/>
      <c r="S21" s="1055" t="s">
        <v>87</v>
      </c>
      <c r="T21" s="725"/>
      <c r="U21" s="724"/>
      <c r="V21" s="724"/>
      <c r="W21" s="1044"/>
      <c r="X21" s="1045" t="str">
        <f t="shared" si="12"/>
        <v/>
      </c>
      <c r="Y21" s="1046" t="str">
        <f t="shared" si="13"/>
        <v/>
      </c>
      <c r="Z21" s="1047" t="str">
        <f t="shared" si="14"/>
        <v/>
      </c>
      <c r="AA21" s="1047" t="str">
        <f t="shared" si="15"/>
        <v/>
      </c>
      <c r="AB21" s="1047" t="str">
        <f t="shared" si="16"/>
        <v/>
      </c>
      <c r="AC21" s="1048">
        <f t="shared" si="17"/>
        <v>1010</v>
      </c>
    </row>
    <row r="22" s="70" customFormat="1" spans="1:30">
      <c r="A22" s="1049">
        <v>46283</v>
      </c>
      <c r="B22" s="1050" t="s">
        <v>231</v>
      </c>
      <c r="C22" s="1051"/>
      <c r="D22" s="1052" t="s">
        <v>79</v>
      </c>
      <c r="E22" s="1053"/>
      <c r="F22" s="724"/>
      <c r="G22" s="1054">
        <v>293</v>
      </c>
      <c r="H22" s="727">
        <v>1</v>
      </c>
      <c r="I22" s="728">
        <f>G22*H22</f>
        <v>293</v>
      </c>
      <c r="J22" s="729">
        <v>6000020</v>
      </c>
      <c r="K22" s="730">
        <f>A22</f>
        <v>46283</v>
      </c>
      <c r="L22" s="728">
        <f>I22</f>
        <v>293</v>
      </c>
      <c r="M22" s="728">
        <f t="shared" si="18"/>
        <v>293</v>
      </c>
      <c r="N22" s="724"/>
      <c r="O22" s="724"/>
      <c r="P22" s="724"/>
      <c r="Q22" s="730"/>
      <c r="R22" s="730"/>
      <c r="S22" s="1055" t="s">
        <v>87</v>
      </c>
      <c r="T22" s="725"/>
      <c r="U22" s="724"/>
      <c r="V22" s="724"/>
      <c r="W22" s="1044"/>
      <c r="X22" s="1045" t="str">
        <f t="shared" si="12"/>
        <v/>
      </c>
      <c r="Y22" s="1046" t="str">
        <f t="shared" si="13"/>
        <v/>
      </c>
      <c r="Z22" s="1047" t="str">
        <f t="shared" si="14"/>
        <v/>
      </c>
      <c r="AA22" s="1047" t="str">
        <f t="shared" si="15"/>
        <v/>
      </c>
      <c r="AB22" s="1047" t="str">
        <f t="shared" si="16"/>
        <v/>
      </c>
      <c r="AC22" s="1048">
        <f t="shared" si="17"/>
        <v>293</v>
      </c>
    </row>
    <row r="23" ht="12.5" spans="1:30">
      <c r="A23" s="1058">
        <v>46281</v>
      </c>
      <c r="B23" s="724" t="s">
        <v>232</v>
      </c>
      <c r="C23" s="725"/>
      <c r="D23" s="724" t="s">
        <v>233</v>
      </c>
      <c r="E23" s="725"/>
      <c r="F23" s="726"/>
      <c r="G23" s="1060">
        <v>28650</v>
      </c>
      <c r="H23" s="727">
        <v>0.149</v>
      </c>
      <c r="I23" s="728">
        <f>G23*H23</f>
        <v>4268.85</v>
      </c>
      <c r="J23" s="1074">
        <v>4000005</v>
      </c>
      <c r="K23" s="730"/>
      <c r="L23" s="728">
        <f>I23</f>
        <v>4268.85</v>
      </c>
      <c r="M23" s="728">
        <f t="shared" si="18"/>
        <v>4268.85</v>
      </c>
      <c r="N23" s="724"/>
      <c r="O23" s="724"/>
      <c r="P23" s="724"/>
      <c r="Q23" s="730"/>
      <c r="R23" s="730"/>
      <c r="S23" s="725" t="s">
        <v>82</v>
      </c>
      <c r="T23" s="726"/>
      <c r="U23" s="724"/>
      <c r="V23" s="724"/>
      <c r="W23" s="1044"/>
      <c r="X23" s="1045">
        <f t="shared" si="12"/>
        <v>4268.85</v>
      </c>
      <c r="Y23" s="1046" t="str">
        <f t="shared" si="13"/>
        <v/>
      </c>
      <c r="Z23" s="1047" t="str">
        <f t="shared" si="14"/>
        <v/>
      </c>
      <c r="AA23" s="1047" t="str">
        <f t="shared" si="15"/>
        <v/>
      </c>
      <c r="AB23" s="1047" t="str">
        <f t="shared" si="16"/>
        <v/>
      </c>
      <c r="AC23" s="1048" t="str">
        <f t="shared" si="17"/>
        <v/>
      </c>
    </row>
    <row r="24" ht="12.5" spans="1:30">
      <c r="A24" s="1058">
        <v>46281</v>
      </c>
      <c r="B24" s="1075" t="s">
        <v>234</v>
      </c>
      <c r="C24" s="1076" t="s">
        <v>235</v>
      </c>
      <c r="D24" s="724" t="s">
        <v>226</v>
      </c>
      <c r="E24" s="725" t="s">
        <v>236</v>
      </c>
      <c r="F24" s="724"/>
      <c r="G24" s="1054">
        <v>560</v>
      </c>
      <c r="H24" s="727">
        <v>1</v>
      </c>
      <c r="I24" s="728">
        <v>560</v>
      </c>
      <c r="J24" s="729">
        <v>2000008</v>
      </c>
      <c r="K24" s="730"/>
      <c r="L24" s="728">
        <v>560</v>
      </c>
      <c r="M24" s="728">
        <v>560</v>
      </c>
      <c r="N24" s="724"/>
      <c r="O24" s="724"/>
      <c r="P24" s="724"/>
      <c r="Q24" s="730"/>
      <c r="R24" s="730"/>
      <c r="S24" s="725" t="s">
        <v>84</v>
      </c>
      <c r="T24" s="726"/>
      <c r="U24" s="724"/>
      <c r="V24" s="724"/>
      <c r="W24" s="1044"/>
      <c r="X24" s="1045"/>
      <c r="Y24" s="1046"/>
      <c r="Z24" s="1047">
        <f t="shared" si="14"/>
        <v>560</v>
      </c>
      <c r="AA24" s="1047"/>
      <c r="AB24" s="1047"/>
      <c r="AC24" s="1048"/>
    </row>
    <row r="25" ht="12.5" spans="1:30">
      <c r="A25" s="1049"/>
      <c r="B25" s="724" t="s">
        <v>237</v>
      </c>
      <c r="C25" s="725"/>
      <c r="D25" s="724" t="s">
        <v>103</v>
      </c>
      <c r="E25" s="725"/>
      <c r="F25" s="726"/>
      <c r="G25" s="1077">
        <v>-1544</v>
      </c>
      <c r="H25" s="727">
        <v>1</v>
      </c>
      <c r="I25" s="728">
        <v>-1544</v>
      </c>
      <c r="J25" s="729">
        <v>6000007</v>
      </c>
      <c r="K25" s="730"/>
      <c r="L25" s="728">
        <v>-1544</v>
      </c>
      <c r="M25" s="728">
        <v>-1544</v>
      </c>
      <c r="N25" s="724"/>
      <c r="O25" s="724"/>
      <c r="P25" s="724"/>
      <c r="Q25" s="730"/>
      <c r="R25" s="730"/>
      <c r="S25" s="725"/>
      <c r="T25" s="726"/>
      <c r="U25" s="724"/>
      <c r="V25" s="724"/>
      <c r="W25" s="1044"/>
      <c r="X25" s="1045" t="str">
        <f t="shared" ref="X25:X43" si="19">IF(S25="Accrual",M25,"")</f>
        <v/>
      </c>
      <c r="Y25" s="1046" t="str">
        <f t="shared" ref="Y25:Y43" si="20">IF(S25="Receiving",M25,"")</f>
        <v/>
      </c>
      <c r="Z25" s="1047" t="str">
        <f t="shared" ref="Z25:Z44" si="21">IF(S25="Received",M25,"")</f>
        <v/>
      </c>
      <c r="AA25" s="1047" t="str">
        <f t="shared" ref="AA25:AA43" si="22">IF(S25="Approved",M25,"")</f>
        <v/>
      </c>
      <c r="AB25" s="1047" t="str">
        <f t="shared" ref="AB25:AB43" si="23">IF(S25="Paying",M25,"")</f>
        <v/>
      </c>
      <c r="AC25" s="1048" t="str">
        <f t="shared" ref="AC25:AC43" si="24">IF(S25="Completed",M25,"")</f>
        <v/>
      </c>
    </row>
    <row r="26" ht="12.5" spans="1:30">
      <c r="A26" s="1078">
        <v>46284</v>
      </c>
      <c r="B26" s="1079" t="s">
        <v>238</v>
      </c>
      <c r="C26" s="1080"/>
      <c r="D26" s="1079"/>
      <c r="E26" s="1080"/>
      <c r="F26" s="1081"/>
      <c r="G26" s="1082">
        <v>298.31</v>
      </c>
      <c r="H26" s="1083">
        <v>1</v>
      </c>
      <c r="I26" s="1084">
        <f>G26*H26</f>
        <v>298.31</v>
      </c>
      <c r="J26" s="1085">
        <v>6000016</v>
      </c>
      <c r="K26" s="1086"/>
      <c r="L26" s="1084">
        <f>I26</f>
        <v>298.31</v>
      </c>
      <c r="M26" s="1084">
        <f>L26</f>
        <v>298.31</v>
      </c>
      <c r="N26" s="1079"/>
      <c r="O26" s="1079"/>
      <c r="P26" s="1079"/>
      <c r="Q26" s="1086"/>
      <c r="R26" s="1086"/>
      <c r="S26" s="1080" t="s">
        <v>87</v>
      </c>
      <c r="T26" s="1081"/>
      <c r="U26" s="1079"/>
      <c r="V26" s="1079"/>
      <c r="W26" s="1068"/>
      <c r="X26" s="1069" t="str">
        <f t="shared" si="19"/>
        <v/>
      </c>
      <c r="Y26" s="1070" t="str">
        <f t="shared" si="20"/>
        <v/>
      </c>
      <c r="Z26" s="1071" t="str">
        <f t="shared" si="21"/>
        <v/>
      </c>
      <c r="AA26" s="1071" t="str">
        <f t="shared" si="22"/>
        <v/>
      </c>
      <c r="AB26" s="1071" t="str">
        <f t="shared" si="23"/>
        <v/>
      </c>
      <c r="AC26" s="1072">
        <f t="shared" si="24"/>
        <v>298.31</v>
      </c>
      <c r="AD26" s="466"/>
    </row>
    <row r="27" ht="12.5" spans="1:30">
      <c r="A27" s="1049">
        <v>46274</v>
      </c>
      <c r="B27" s="1087" t="s">
        <v>239</v>
      </c>
      <c r="C27" s="725"/>
      <c r="D27" s="724"/>
      <c r="E27" s="725"/>
      <c r="F27" s="726"/>
      <c r="G27" s="726">
        <v>522.51</v>
      </c>
      <c r="H27" s="727">
        <v>1</v>
      </c>
      <c r="I27" s="728">
        <f>G27*H27</f>
        <v>522.51</v>
      </c>
      <c r="J27" s="729">
        <v>6000006</v>
      </c>
      <c r="K27" s="730"/>
      <c r="L27" s="728">
        <f>I27</f>
        <v>522.51</v>
      </c>
      <c r="M27" s="1088">
        <f>L27</f>
        <v>522.51</v>
      </c>
      <c r="N27" s="724"/>
      <c r="O27" s="724"/>
      <c r="P27" s="724"/>
      <c r="Q27" s="730"/>
      <c r="R27" s="730"/>
      <c r="S27" s="725"/>
      <c r="T27" s="726"/>
      <c r="U27" s="724"/>
      <c r="V27" s="724"/>
      <c r="W27" s="1044"/>
      <c r="X27" s="1045" t="str">
        <f t="shared" si="19"/>
        <v/>
      </c>
      <c r="Y27" s="1046" t="str">
        <f t="shared" si="20"/>
        <v/>
      </c>
      <c r="Z27" s="1047" t="str">
        <f t="shared" si="21"/>
        <v/>
      </c>
      <c r="AA27" s="1047" t="str">
        <f t="shared" si="22"/>
        <v/>
      </c>
      <c r="AB27" s="1047" t="str">
        <f t="shared" si="23"/>
        <v/>
      </c>
      <c r="AC27" s="1048" t="str">
        <f t="shared" si="24"/>
        <v/>
      </c>
    </row>
    <row r="28" ht="12.5" spans="1:30">
      <c r="A28" s="1049">
        <v>46272</v>
      </c>
      <c r="B28" s="1087" t="s">
        <v>240</v>
      </c>
      <c r="C28" s="725" t="s">
        <v>241</v>
      </c>
      <c r="D28" s="724" t="s">
        <v>226</v>
      </c>
      <c r="E28" s="1089" t="s">
        <v>242</v>
      </c>
      <c r="F28" s="1090"/>
      <c r="G28" s="1091">
        <v>12974.8</v>
      </c>
      <c r="H28" s="1092">
        <v>1</v>
      </c>
      <c r="I28" s="1088">
        <f>G28*H28</f>
        <v>12974.8</v>
      </c>
      <c r="J28" s="1093">
        <v>2000004</v>
      </c>
      <c r="K28" s="1094"/>
      <c r="L28" s="1088">
        <f>I28</f>
        <v>12974.8</v>
      </c>
      <c r="M28" s="1088">
        <f>L28</f>
        <v>12974.8</v>
      </c>
      <c r="N28" s="1095"/>
      <c r="O28" s="1095"/>
      <c r="P28" s="1095"/>
      <c r="Q28" s="1094">
        <v>46283</v>
      </c>
      <c r="R28" s="1094">
        <v>46313</v>
      </c>
      <c r="S28" s="725" t="s">
        <v>84</v>
      </c>
      <c r="T28" s="1091"/>
      <c r="U28" s="1095"/>
      <c r="V28" s="1095"/>
      <c r="W28" s="1096"/>
      <c r="X28" s="1045" t="str">
        <f t="shared" si="19"/>
        <v/>
      </c>
      <c r="Y28" s="1046" t="str">
        <f t="shared" si="20"/>
        <v/>
      </c>
      <c r="Z28" s="1047">
        <f t="shared" si="21"/>
        <v>12974.8</v>
      </c>
      <c r="AA28" s="1047" t="str">
        <f t="shared" si="22"/>
        <v/>
      </c>
      <c r="AB28" s="1047" t="str">
        <f t="shared" si="23"/>
        <v/>
      </c>
      <c r="AC28" s="1048" t="str">
        <f t="shared" si="24"/>
        <v/>
      </c>
    </row>
    <row r="29" ht="12.5" spans="1:30">
      <c r="A29" s="1049">
        <v>46272</v>
      </c>
      <c r="B29" s="724" t="s">
        <v>243</v>
      </c>
      <c r="C29" s="725"/>
      <c r="D29" s="724" t="s">
        <v>244</v>
      </c>
      <c r="E29" s="1089" t="s">
        <v>245</v>
      </c>
      <c r="F29" s="1091"/>
      <c r="G29" s="1091">
        <v>1200</v>
      </c>
      <c r="H29" s="1092">
        <v>1</v>
      </c>
      <c r="I29" s="1088">
        <f t="shared" ref="I29:I43" si="25">G29*H29</f>
        <v>1200</v>
      </c>
      <c r="J29" s="1093">
        <v>4000014</v>
      </c>
      <c r="K29" s="1094">
        <v>46266</v>
      </c>
      <c r="L29" s="1088">
        <f t="shared" ref="L29:L43" si="26">I29</f>
        <v>1200</v>
      </c>
      <c r="M29" s="1088">
        <f t="shared" ref="M29:M43" si="27">L29</f>
        <v>1200</v>
      </c>
      <c r="N29" s="1095"/>
      <c r="O29" s="1095"/>
      <c r="P29" s="1095"/>
      <c r="Q29" s="1094">
        <v>46266</v>
      </c>
      <c r="R29" s="1094">
        <v>46268</v>
      </c>
      <c r="S29" s="1089"/>
      <c r="T29" s="1091"/>
      <c r="U29" s="1095"/>
      <c r="V29" s="1095"/>
      <c r="W29" s="1096"/>
      <c r="X29" s="1045" t="str">
        <f t="shared" si="19"/>
        <v/>
      </c>
      <c r="Y29" s="1046" t="str">
        <f t="shared" si="20"/>
        <v/>
      </c>
      <c r="Z29" s="1047" t="str">
        <f t="shared" si="21"/>
        <v/>
      </c>
      <c r="AA29" s="1047" t="str">
        <f t="shared" si="22"/>
        <v/>
      </c>
      <c r="AB29" s="1047" t="str">
        <f t="shared" si="23"/>
        <v/>
      </c>
      <c r="AC29" s="1048" t="str">
        <f t="shared" si="24"/>
        <v/>
      </c>
    </row>
    <row r="30" ht="12.5" spans="1:30">
      <c r="A30" s="1049">
        <v>46269</v>
      </c>
      <c r="B30" s="724" t="s">
        <v>246</v>
      </c>
      <c r="C30" s="725"/>
      <c r="D30" s="724" t="s">
        <v>206</v>
      </c>
      <c r="E30" s="725"/>
      <c r="F30" s="726"/>
      <c r="G30" s="726">
        <v>2565</v>
      </c>
      <c r="H30" s="727">
        <v>1</v>
      </c>
      <c r="I30" s="728">
        <f t="shared" si="25"/>
        <v>2565</v>
      </c>
      <c r="J30" s="729">
        <v>9000000</v>
      </c>
      <c r="K30" s="730"/>
      <c r="L30" s="728">
        <f t="shared" si="26"/>
        <v>2565</v>
      </c>
      <c r="M30" s="728">
        <f t="shared" si="27"/>
        <v>2565</v>
      </c>
      <c r="N30" s="724"/>
      <c r="O30" s="724"/>
      <c r="P30" s="724"/>
      <c r="Q30" s="730"/>
      <c r="R30" s="730"/>
      <c r="S30" s="725" t="s">
        <v>87</v>
      </c>
      <c r="T30" s="726"/>
      <c r="U30" s="724"/>
      <c r="V30" s="724"/>
      <c r="W30" s="1044"/>
      <c r="X30" s="1045" t="str">
        <f t="shared" si="19"/>
        <v/>
      </c>
      <c r="Y30" s="1046" t="str">
        <f t="shared" si="20"/>
        <v/>
      </c>
      <c r="Z30" s="1047" t="str">
        <f t="shared" si="21"/>
        <v/>
      </c>
      <c r="AA30" s="1047" t="str">
        <f t="shared" si="22"/>
        <v/>
      </c>
      <c r="AB30" s="1047" t="str">
        <f t="shared" si="23"/>
        <v/>
      </c>
      <c r="AC30" s="1048">
        <f t="shared" si="24"/>
        <v>2565</v>
      </c>
      <c r="AD30" s="466"/>
    </row>
    <row r="31" ht="12.5" spans="1:30">
      <c r="A31" s="1049">
        <v>46269</v>
      </c>
      <c r="B31" s="724" t="s">
        <v>247</v>
      </c>
      <c r="C31" s="725"/>
      <c r="D31" s="724" t="s">
        <v>206</v>
      </c>
      <c r="E31" s="725"/>
      <c r="F31" s="726"/>
      <c r="G31" s="726">
        <v>12501.04</v>
      </c>
      <c r="H31" s="727">
        <v>1</v>
      </c>
      <c r="I31" s="728">
        <f t="shared" si="25"/>
        <v>12501.04</v>
      </c>
      <c r="J31" s="729">
        <v>1000090</v>
      </c>
      <c r="K31" s="730"/>
      <c r="L31" s="728">
        <f t="shared" si="26"/>
        <v>12501.04</v>
      </c>
      <c r="M31" s="728">
        <f t="shared" si="27"/>
        <v>12501.04</v>
      </c>
      <c r="N31" s="1097"/>
      <c r="O31" s="724"/>
      <c r="P31" s="724"/>
      <c r="Q31" s="730"/>
      <c r="R31" s="730"/>
      <c r="S31" s="725" t="s">
        <v>87</v>
      </c>
      <c r="T31" s="726"/>
      <c r="U31" s="724"/>
      <c r="V31" s="724"/>
      <c r="W31" s="1044"/>
      <c r="X31" s="1045" t="str">
        <f t="shared" si="19"/>
        <v/>
      </c>
      <c r="Y31" s="1046" t="str">
        <f t="shared" si="20"/>
        <v/>
      </c>
      <c r="Z31" s="1047" t="str">
        <f t="shared" si="21"/>
        <v/>
      </c>
      <c r="AA31" s="1047" t="str">
        <f t="shared" si="22"/>
        <v/>
      </c>
      <c r="AB31" s="1047" t="str">
        <f t="shared" si="23"/>
        <v/>
      </c>
      <c r="AC31" s="1048">
        <f t="shared" si="24"/>
        <v>12501.04</v>
      </c>
    </row>
    <row r="32" ht="12.5" spans="1:30">
      <c r="A32" s="1098">
        <v>46269</v>
      </c>
      <c r="B32" s="724" t="s">
        <v>248</v>
      </c>
      <c r="C32" s="725"/>
      <c r="D32" s="724" t="s">
        <v>206</v>
      </c>
      <c r="E32" s="725"/>
      <c r="F32" s="726"/>
      <c r="G32" s="726">
        <v>70197.08</v>
      </c>
      <c r="H32" s="727">
        <v>1</v>
      </c>
      <c r="I32" s="728">
        <f t="shared" si="25"/>
        <v>70197.08</v>
      </c>
      <c r="J32" s="729">
        <v>1000001</v>
      </c>
      <c r="K32" s="730"/>
      <c r="L32" s="728">
        <f t="shared" si="26"/>
        <v>70197.08</v>
      </c>
      <c r="M32" s="728">
        <f t="shared" si="27"/>
        <v>70197.08</v>
      </c>
      <c r="N32" s="724"/>
      <c r="O32" s="724"/>
      <c r="P32" s="724"/>
      <c r="Q32" s="730"/>
      <c r="R32" s="730"/>
      <c r="S32" s="725" t="s">
        <v>87</v>
      </c>
      <c r="T32" s="726">
        <v>170.53</v>
      </c>
      <c r="U32" s="724"/>
      <c r="V32" s="724"/>
      <c r="W32" s="1044"/>
      <c r="X32" s="1045" t="str">
        <f t="shared" si="19"/>
        <v/>
      </c>
      <c r="Y32" s="1046" t="str">
        <f t="shared" si="20"/>
        <v/>
      </c>
      <c r="Z32" s="1047" t="str">
        <f t="shared" si="21"/>
        <v/>
      </c>
      <c r="AA32" s="1047" t="str">
        <f t="shared" si="22"/>
        <v/>
      </c>
      <c r="AB32" s="1047" t="str">
        <f t="shared" si="23"/>
        <v/>
      </c>
      <c r="AC32" s="1048">
        <f t="shared" si="24"/>
        <v>70197.08</v>
      </c>
      <c r="AD32" s="466"/>
    </row>
    <row r="33" ht="12.5" spans="1:31">
      <c r="A33" s="1099">
        <v>46267</v>
      </c>
      <c r="B33" s="1100" t="s">
        <v>249</v>
      </c>
      <c r="C33" s="1101"/>
      <c r="D33" s="1100"/>
      <c r="E33" s="1102"/>
      <c r="F33" s="1103"/>
      <c r="G33" s="1104">
        <v>2301.47</v>
      </c>
      <c r="H33" s="1105">
        <v>1</v>
      </c>
      <c r="I33" s="1106">
        <f t="shared" si="25"/>
        <v>2301.47</v>
      </c>
      <c r="J33" s="1107">
        <v>6000016</v>
      </c>
      <c r="K33" s="1108"/>
      <c r="L33" s="1106">
        <f t="shared" si="26"/>
        <v>2301.47</v>
      </c>
      <c r="M33" s="1106">
        <f t="shared" si="27"/>
        <v>2301.47</v>
      </c>
      <c r="N33" s="1109"/>
      <c r="O33" s="1109"/>
      <c r="P33" s="1109"/>
      <c r="Q33" s="1108"/>
      <c r="R33" s="1108"/>
      <c r="S33" s="1102" t="s">
        <v>87</v>
      </c>
      <c r="T33" s="1110"/>
      <c r="U33" s="1109"/>
      <c r="V33" s="1109"/>
      <c r="W33" s="1111"/>
      <c r="X33" s="1069" t="str">
        <f t="shared" si="19"/>
        <v/>
      </c>
      <c r="Y33" s="1070" t="str">
        <f t="shared" si="20"/>
        <v/>
      </c>
      <c r="Z33" s="1071" t="str">
        <f t="shared" si="21"/>
        <v/>
      </c>
      <c r="AA33" s="1071" t="str">
        <f t="shared" si="22"/>
        <v/>
      </c>
      <c r="AB33" s="1071" t="str">
        <f t="shared" si="23"/>
        <v/>
      </c>
      <c r="AC33" s="1072">
        <f t="shared" si="24"/>
        <v>2301.47</v>
      </c>
    </row>
    <row r="34" ht="12.5" spans="1:31">
      <c r="A34" s="1099">
        <v>46267</v>
      </c>
      <c r="B34" s="1100" t="s">
        <v>250</v>
      </c>
      <c r="C34" s="1101"/>
      <c r="D34" s="1100"/>
      <c r="E34" s="1112"/>
      <c r="F34" s="1113"/>
      <c r="G34" s="1114">
        <v>10292.19</v>
      </c>
      <c r="H34" s="1115">
        <v>1</v>
      </c>
      <c r="I34" s="1116">
        <f t="shared" si="25"/>
        <v>10292.19</v>
      </c>
      <c r="J34" s="1117">
        <v>6000013</v>
      </c>
      <c r="K34" s="1118"/>
      <c r="L34" s="1116">
        <f t="shared" si="26"/>
        <v>10292.19</v>
      </c>
      <c r="M34" s="1116">
        <f t="shared" si="27"/>
        <v>10292.19</v>
      </c>
      <c r="N34" s="1119"/>
      <c r="O34" s="1119"/>
      <c r="P34" s="1119"/>
      <c r="Q34" s="1118"/>
      <c r="R34" s="1118"/>
      <c r="S34" s="1112" t="s">
        <v>87</v>
      </c>
      <c r="T34" s="1120"/>
      <c r="U34" s="1119"/>
      <c r="V34" s="1119"/>
      <c r="W34" s="1121"/>
      <c r="X34" s="1069" t="str">
        <f t="shared" si="19"/>
        <v/>
      </c>
      <c r="Y34" s="1070" t="str">
        <f t="shared" si="20"/>
        <v/>
      </c>
      <c r="Z34" s="1071" t="str">
        <f t="shared" si="21"/>
        <v/>
      </c>
      <c r="AA34" s="1071" t="str">
        <f t="shared" si="22"/>
        <v/>
      </c>
      <c r="AB34" s="1071" t="str">
        <f t="shared" si="23"/>
        <v/>
      </c>
      <c r="AC34" s="1072">
        <f t="shared" si="24"/>
        <v>10292.19</v>
      </c>
    </row>
    <row r="35" ht="14" customHeight="1" spans="1:31">
      <c r="A35" s="1049">
        <v>46267</v>
      </c>
      <c r="B35" s="724" t="s">
        <v>251</v>
      </c>
      <c r="C35" s="725"/>
      <c r="D35" s="724" t="s">
        <v>252</v>
      </c>
      <c r="E35" s="1122"/>
      <c r="F35" s="726"/>
      <c r="G35" s="726">
        <v>44.8</v>
      </c>
      <c r="H35" s="727">
        <v>1</v>
      </c>
      <c r="I35" s="728">
        <f t="shared" si="25"/>
        <v>44.8</v>
      </c>
      <c r="J35" s="729">
        <v>6000017</v>
      </c>
      <c r="K35" s="730">
        <v>46266</v>
      </c>
      <c r="L35" s="728">
        <f t="shared" si="26"/>
        <v>44.8</v>
      </c>
      <c r="M35" s="728">
        <f t="shared" si="27"/>
        <v>44.8</v>
      </c>
      <c r="N35" s="724"/>
      <c r="O35" s="724"/>
      <c r="P35" s="724"/>
      <c r="Q35" s="730">
        <v>46266</v>
      </c>
      <c r="R35" s="730">
        <v>46281</v>
      </c>
      <c r="S35" s="725" t="s">
        <v>84</v>
      </c>
      <c r="T35" s="726"/>
      <c r="U35" s="724"/>
      <c r="V35" s="724"/>
      <c r="W35" s="1044"/>
      <c r="X35" s="1045" t="str">
        <f t="shared" si="19"/>
        <v/>
      </c>
      <c r="Y35" s="1046" t="str">
        <f t="shared" si="20"/>
        <v/>
      </c>
      <c r="Z35" s="1047">
        <f t="shared" si="21"/>
        <v>44.8</v>
      </c>
      <c r="AA35" s="1047" t="str">
        <f t="shared" si="22"/>
        <v/>
      </c>
      <c r="AB35" s="1047" t="str">
        <f t="shared" si="23"/>
        <v/>
      </c>
      <c r="AC35" s="1048" t="str">
        <f t="shared" si="24"/>
        <v/>
      </c>
    </row>
    <row r="36" ht="12.5" spans="1:31">
      <c r="A36" s="1049">
        <v>46267</v>
      </c>
      <c r="B36" s="724" t="s">
        <v>253</v>
      </c>
      <c r="C36" s="725"/>
      <c r="D36" s="724" t="s">
        <v>252</v>
      </c>
      <c r="E36" s="725"/>
      <c r="F36" s="726"/>
      <c r="G36" s="726">
        <v>150</v>
      </c>
      <c r="H36" s="727">
        <v>1</v>
      </c>
      <c r="I36" s="728">
        <f t="shared" si="25"/>
        <v>150</v>
      </c>
      <c r="J36" s="729">
        <v>6000017</v>
      </c>
      <c r="K36" s="730">
        <v>46267</v>
      </c>
      <c r="L36" s="728">
        <f t="shared" si="26"/>
        <v>150</v>
      </c>
      <c r="M36" s="728">
        <f t="shared" si="27"/>
        <v>150</v>
      </c>
      <c r="N36" s="724"/>
      <c r="O36" s="724"/>
      <c r="P36" s="724"/>
      <c r="Q36" s="730">
        <v>46267</v>
      </c>
      <c r="R36" s="730">
        <v>46282</v>
      </c>
      <c r="S36" s="725" t="s">
        <v>84</v>
      </c>
      <c r="T36" s="726"/>
      <c r="U36" s="724"/>
      <c r="V36" s="724"/>
      <c r="W36" s="1044"/>
      <c r="X36" s="1045" t="str">
        <f t="shared" si="19"/>
        <v/>
      </c>
      <c r="Y36" s="1046" t="str">
        <f t="shared" si="20"/>
        <v/>
      </c>
      <c r="Z36" s="1047">
        <f t="shared" si="21"/>
        <v>150</v>
      </c>
      <c r="AA36" s="1047" t="str">
        <f t="shared" si="22"/>
        <v/>
      </c>
      <c r="AB36" s="1047" t="str">
        <f t="shared" si="23"/>
        <v/>
      </c>
      <c r="AC36" s="1048" t="str">
        <f t="shared" si="24"/>
        <v/>
      </c>
    </row>
    <row r="37" s="467" customFormat="1" ht="12.5" spans="1:31">
      <c r="A37" s="1061">
        <v>46266</v>
      </c>
      <c r="B37" s="1062" t="s">
        <v>254</v>
      </c>
      <c r="C37" s="1063"/>
      <c r="D37" s="1062"/>
      <c r="E37" s="1063"/>
      <c r="F37" s="1064"/>
      <c r="G37" s="1082">
        <v>30622.61</v>
      </c>
      <c r="H37" s="1073">
        <v>1</v>
      </c>
      <c r="I37" s="1067">
        <f t="shared" si="25"/>
        <v>30622.61</v>
      </c>
      <c r="J37" s="1065">
        <v>6000016</v>
      </c>
      <c r="K37" s="1066"/>
      <c r="L37" s="1067">
        <f t="shared" si="26"/>
        <v>30622.61</v>
      </c>
      <c r="M37" s="1067">
        <f t="shared" si="27"/>
        <v>30622.61</v>
      </c>
      <c r="N37" s="1062"/>
      <c r="O37" s="1062"/>
      <c r="P37" s="1062"/>
      <c r="Q37" s="1066"/>
      <c r="R37" s="1066"/>
      <c r="S37" s="1063" t="s">
        <v>87</v>
      </c>
      <c r="T37" s="1064">
        <v>120</v>
      </c>
      <c r="U37" s="1062"/>
      <c r="V37" s="1062"/>
      <c r="W37" s="1068"/>
      <c r="X37" s="1069" t="str">
        <f t="shared" si="19"/>
        <v/>
      </c>
      <c r="Y37" s="1070" t="str">
        <f t="shared" si="20"/>
        <v/>
      </c>
      <c r="Z37" s="1071" t="str">
        <f t="shared" si="21"/>
        <v/>
      </c>
      <c r="AA37" s="1071" t="str">
        <f t="shared" si="22"/>
        <v/>
      </c>
      <c r="AB37" s="1071" t="str">
        <f t="shared" si="23"/>
        <v/>
      </c>
      <c r="AC37" s="1072">
        <f t="shared" si="24"/>
        <v>30622.61</v>
      </c>
    </row>
    <row r="38" s="70" customFormat="1" spans="1:31">
      <c r="A38" s="1049">
        <v>46266</v>
      </c>
      <c r="B38" s="1050" t="s">
        <v>255</v>
      </c>
      <c r="C38" s="1051"/>
      <c r="D38" s="1052" t="s">
        <v>79</v>
      </c>
      <c r="E38" s="1053"/>
      <c r="F38" s="724"/>
      <c r="G38" s="1054">
        <v>120</v>
      </c>
      <c r="H38" s="727">
        <v>1</v>
      </c>
      <c r="I38" s="728">
        <f t="shared" si="25"/>
        <v>120</v>
      </c>
      <c r="J38" s="729">
        <v>6000001</v>
      </c>
      <c r="K38" s="730">
        <f>A38</f>
        <v>46266</v>
      </c>
      <c r="L38" s="728">
        <f t="shared" si="26"/>
        <v>120</v>
      </c>
      <c r="M38" s="728">
        <f t="shared" si="27"/>
        <v>120</v>
      </c>
      <c r="N38" s="724"/>
      <c r="O38" s="724"/>
      <c r="P38" s="724"/>
      <c r="Q38" s="730"/>
      <c r="R38" s="730"/>
      <c r="S38" s="1055" t="s">
        <v>87</v>
      </c>
      <c r="T38" s="725"/>
      <c r="U38" s="724"/>
      <c r="V38" s="724"/>
      <c r="W38" s="1044"/>
      <c r="X38" s="1045" t="str">
        <f t="shared" si="19"/>
        <v/>
      </c>
      <c r="Y38" s="1046" t="str">
        <f t="shared" si="20"/>
        <v/>
      </c>
      <c r="Z38" s="1047" t="str">
        <f t="shared" si="21"/>
        <v/>
      </c>
      <c r="AA38" s="1047" t="str">
        <f t="shared" si="22"/>
        <v/>
      </c>
      <c r="AB38" s="1047" t="str">
        <f t="shared" si="23"/>
        <v/>
      </c>
      <c r="AC38" s="1048">
        <f t="shared" si="24"/>
        <v>120</v>
      </c>
    </row>
    <row r="39" s="70" customFormat="1" spans="1:31">
      <c r="A39" s="1049">
        <v>46266</v>
      </c>
      <c r="B39" s="1050" t="s">
        <v>256</v>
      </c>
      <c r="C39" s="1051"/>
      <c r="D39" s="1052" t="s">
        <v>79</v>
      </c>
      <c r="E39" s="1053"/>
      <c r="F39" s="724"/>
      <c r="G39" s="1054">
        <v>1400</v>
      </c>
      <c r="H39" s="727">
        <v>1</v>
      </c>
      <c r="I39" s="728">
        <f t="shared" si="25"/>
        <v>1400</v>
      </c>
      <c r="J39" s="1057">
        <v>6000001</v>
      </c>
      <c r="K39" s="730">
        <f>A39</f>
        <v>46266</v>
      </c>
      <c r="L39" s="728">
        <f t="shared" si="26"/>
        <v>1400</v>
      </c>
      <c r="M39" s="728">
        <f t="shared" si="27"/>
        <v>1400</v>
      </c>
      <c r="N39" s="724"/>
      <c r="O39" s="724"/>
      <c r="P39" s="724"/>
      <c r="Q39" s="730"/>
      <c r="R39" s="730"/>
      <c r="S39" s="1055" t="s">
        <v>87</v>
      </c>
      <c r="T39" s="725"/>
      <c r="U39" s="724"/>
      <c r="V39" s="724"/>
      <c r="W39" s="1044"/>
      <c r="X39" s="1045" t="str">
        <f t="shared" si="19"/>
        <v/>
      </c>
      <c r="Y39" s="1046" t="str">
        <f t="shared" si="20"/>
        <v/>
      </c>
      <c r="Z39" s="1047" t="str">
        <f t="shared" si="21"/>
        <v/>
      </c>
      <c r="AA39" s="1047" t="str">
        <f t="shared" si="22"/>
        <v/>
      </c>
      <c r="AB39" s="1047" t="str">
        <f t="shared" si="23"/>
        <v/>
      </c>
      <c r="AC39" s="1048">
        <f t="shared" si="24"/>
        <v>1400</v>
      </c>
    </row>
    <row r="40" s="70" customFormat="1" spans="1:31">
      <c r="A40" s="1049">
        <v>46266</v>
      </c>
      <c r="B40" s="724" t="s">
        <v>257</v>
      </c>
      <c r="C40" s="1051"/>
      <c r="D40" s="1052" t="s">
        <v>79</v>
      </c>
      <c r="E40" s="724"/>
      <c r="F40" s="724"/>
      <c r="G40" s="728">
        <v>375</v>
      </c>
      <c r="H40" s="727">
        <v>1</v>
      </c>
      <c r="I40" s="728">
        <f t="shared" si="25"/>
        <v>375</v>
      </c>
      <c r="J40" s="729">
        <v>6000011</v>
      </c>
      <c r="K40" s="730">
        <f>A40</f>
        <v>46266</v>
      </c>
      <c r="L40" s="728">
        <f t="shared" si="26"/>
        <v>375</v>
      </c>
      <c r="M40" s="728">
        <f t="shared" si="27"/>
        <v>375</v>
      </c>
      <c r="N40" s="724"/>
      <c r="O40" s="724"/>
      <c r="P40" s="724"/>
      <c r="Q40" s="730"/>
      <c r="R40" s="730"/>
      <c r="S40" s="1055" t="s">
        <v>87</v>
      </c>
      <c r="T40" s="724"/>
      <c r="U40" s="724"/>
      <c r="V40" s="724"/>
      <c r="W40" s="1044"/>
      <c r="X40" s="1045" t="str">
        <f t="shared" si="19"/>
        <v/>
      </c>
      <c r="Y40" s="1046" t="str">
        <f t="shared" si="20"/>
        <v/>
      </c>
      <c r="Z40" s="1047" t="str">
        <f t="shared" si="21"/>
        <v/>
      </c>
      <c r="AA40" s="1047" t="str">
        <f t="shared" si="22"/>
        <v/>
      </c>
      <c r="AB40" s="1047" t="str">
        <f t="shared" si="23"/>
        <v/>
      </c>
      <c r="AC40" s="1048">
        <f t="shared" si="24"/>
        <v>375</v>
      </c>
    </row>
    <row r="41" ht="14" customHeight="1" spans="1:31">
      <c r="A41" s="1123">
        <v>46265</v>
      </c>
      <c r="B41" s="1124" t="s">
        <v>258</v>
      </c>
      <c r="C41" s="1125"/>
      <c r="D41" s="1124"/>
      <c r="E41" s="1126"/>
      <c r="F41" s="1081"/>
      <c r="G41" s="1082">
        <v>10000</v>
      </c>
      <c r="H41" s="1127">
        <v>1</v>
      </c>
      <c r="I41" s="1128">
        <f t="shared" si="25"/>
        <v>10000</v>
      </c>
      <c r="J41" s="1129">
        <v>6000016</v>
      </c>
      <c r="K41" s="1130"/>
      <c r="L41" s="1128">
        <f t="shared" si="26"/>
        <v>10000</v>
      </c>
      <c r="M41" s="1128">
        <f t="shared" si="27"/>
        <v>10000</v>
      </c>
      <c r="N41" s="1124"/>
      <c r="O41" s="1124"/>
      <c r="P41" s="1124"/>
      <c r="Q41" s="1130"/>
      <c r="R41" s="1130"/>
      <c r="S41" s="1125" t="s">
        <v>87</v>
      </c>
      <c r="T41" s="1131"/>
      <c r="U41" s="1124"/>
      <c r="V41" s="1124"/>
      <c r="W41" s="1068"/>
      <c r="X41" s="1069" t="str">
        <f t="shared" si="19"/>
        <v/>
      </c>
      <c r="Y41" s="1070" t="str">
        <f t="shared" si="20"/>
        <v/>
      </c>
      <c r="Z41" s="1071" t="str">
        <f t="shared" si="21"/>
        <v/>
      </c>
      <c r="AA41" s="1071" t="str">
        <f t="shared" si="22"/>
        <v/>
      </c>
      <c r="AB41" s="1071" t="str">
        <f t="shared" si="23"/>
        <v/>
      </c>
      <c r="AC41" s="1072">
        <f t="shared" si="24"/>
        <v>10000</v>
      </c>
    </row>
    <row r="42" s="563" customFormat="1" ht="12.5" spans="1:31">
      <c r="A42" s="1049">
        <v>46265</v>
      </c>
      <c r="B42" s="1050" t="s">
        <v>259</v>
      </c>
      <c r="C42" s="1051"/>
      <c r="D42" s="1052" t="s">
        <v>79</v>
      </c>
      <c r="E42" s="1053"/>
      <c r="F42" s="728"/>
      <c r="G42" s="728">
        <v>662</v>
      </c>
      <c r="H42" s="727">
        <v>1</v>
      </c>
      <c r="I42" s="728">
        <f t="shared" si="25"/>
        <v>662</v>
      </c>
      <c r="J42" s="729">
        <v>1000002</v>
      </c>
      <c r="K42" s="730"/>
      <c r="L42" s="728">
        <f t="shared" si="26"/>
        <v>662</v>
      </c>
      <c r="M42" s="728">
        <f t="shared" si="27"/>
        <v>662</v>
      </c>
      <c r="N42" s="1132"/>
      <c r="O42" s="1132"/>
      <c r="P42" s="1132"/>
      <c r="Q42" s="1133"/>
      <c r="R42" s="1132"/>
      <c r="S42" s="1134" t="s">
        <v>87</v>
      </c>
      <c r="T42" s="726"/>
      <c r="U42" s="725"/>
      <c r="V42" s="725"/>
      <c r="W42" s="1135" t="str">
        <f>IF(S42="Accrual",I42,"")</f>
        <v/>
      </c>
      <c r="X42" s="1045" t="str">
        <f t="shared" si="19"/>
        <v/>
      </c>
      <c r="Y42" s="1046" t="str">
        <f t="shared" si="20"/>
        <v/>
      </c>
      <c r="Z42" s="1047" t="str">
        <f t="shared" si="21"/>
        <v/>
      </c>
      <c r="AA42" s="1047" t="str">
        <f t="shared" si="22"/>
        <v/>
      </c>
      <c r="AB42" s="1047" t="str">
        <f t="shared" si="23"/>
        <v/>
      </c>
      <c r="AC42" s="1048">
        <f t="shared" si="24"/>
        <v>662</v>
      </c>
      <c r="AE42"/>
    </row>
    <row r="43" s="563" customFormat="1" ht="12.5" spans="1:31">
      <c r="A43" s="1049">
        <v>46265</v>
      </c>
      <c r="B43" s="1050" t="s">
        <v>260</v>
      </c>
      <c r="C43" s="1051"/>
      <c r="D43" s="1052" t="s">
        <v>79</v>
      </c>
      <c r="E43" s="1136"/>
      <c r="F43" s="728"/>
      <c r="G43" s="728">
        <v>5400</v>
      </c>
      <c r="H43" s="727">
        <v>1</v>
      </c>
      <c r="I43" s="728">
        <f t="shared" si="25"/>
        <v>5400</v>
      </c>
      <c r="J43" s="729">
        <v>1000002</v>
      </c>
      <c r="K43" s="730"/>
      <c r="L43" s="728">
        <f t="shared" si="26"/>
        <v>5400</v>
      </c>
      <c r="M43" s="728">
        <f t="shared" si="27"/>
        <v>5400</v>
      </c>
      <c r="N43" s="1132"/>
      <c r="O43" s="1132"/>
      <c r="P43" s="1132"/>
      <c r="Q43" s="1133"/>
      <c r="R43" s="1132"/>
      <c r="S43" s="1134" t="s">
        <v>87</v>
      </c>
      <c r="T43" s="726"/>
      <c r="U43" s="725"/>
      <c r="V43" s="725"/>
      <c r="W43" s="1135" t="str">
        <f>IF(S43="Accrual",I43,"")</f>
        <v/>
      </c>
      <c r="X43" s="1045" t="str">
        <f t="shared" si="19"/>
        <v/>
      </c>
      <c r="Y43" s="1046" t="str">
        <f t="shared" si="20"/>
        <v/>
      </c>
      <c r="Z43" s="1047" t="str">
        <f t="shared" si="21"/>
        <v/>
      </c>
      <c r="AA43" s="1047" t="str">
        <f t="shared" si="22"/>
        <v/>
      </c>
      <c r="AB43" s="1047" t="str">
        <f t="shared" si="23"/>
        <v/>
      </c>
      <c r="AC43" s="1048">
        <f t="shared" si="24"/>
        <v>5400</v>
      </c>
      <c r="AE43"/>
    </row>
    <row r="44" ht="12.5" spans="1:31">
      <c r="A44" s="1058">
        <v>46262</v>
      </c>
      <c r="B44" s="1075" t="s">
        <v>261</v>
      </c>
      <c r="C44" s="1076" t="s">
        <v>262</v>
      </c>
      <c r="D44" s="724" t="s">
        <v>226</v>
      </c>
      <c r="E44" s="725" t="s">
        <v>263</v>
      </c>
      <c r="F44" s="724"/>
      <c r="G44" s="1054">
        <v>2260.32</v>
      </c>
      <c r="H44" s="727">
        <v>1</v>
      </c>
      <c r="I44" s="728">
        <v>2260.32</v>
      </c>
      <c r="J44" s="729">
        <v>2000009</v>
      </c>
      <c r="K44" s="730"/>
      <c r="L44" s="728">
        <v>2260.32</v>
      </c>
      <c r="M44" s="728">
        <v>2842.32</v>
      </c>
      <c r="N44" s="724"/>
      <c r="O44" s="724"/>
      <c r="P44" s="724"/>
      <c r="Q44" s="730"/>
      <c r="R44" s="730"/>
      <c r="S44" s="725" t="s">
        <v>84</v>
      </c>
      <c r="T44" s="726"/>
      <c r="U44" s="724"/>
      <c r="V44" s="724"/>
      <c r="W44" s="1044"/>
      <c r="X44" s="1045"/>
      <c r="Y44" s="1046"/>
      <c r="Z44" s="1047">
        <f t="shared" si="21"/>
        <v>2842.32</v>
      </c>
      <c r="AA44" s="1047"/>
      <c r="AB44" s="1047"/>
      <c r="AC44" s="1048"/>
    </row>
    <row r="45" ht="12.5" spans="1:31">
      <c r="A45" s="1049">
        <v>46262</v>
      </c>
      <c r="B45" s="724" t="s">
        <v>264</v>
      </c>
      <c r="C45" s="725" t="s">
        <v>265</v>
      </c>
      <c r="D45" s="724" t="s">
        <v>266</v>
      </c>
      <c r="E45" s="725" t="s">
        <v>267</v>
      </c>
      <c r="F45" s="726"/>
      <c r="G45" s="726">
        <v>7015.75</v>
      </c>
      <c r="H45" s="727">
        <v>1</v>
      </c>
      <c r="I45" s="728">
        <f t="shared" ref="I45:I51" si="28">G45*H45</f>
        <v>7015.75</v>
      </c>
      <c r="J45" s="729">
        <v>2000004</v>
      </c>
      <c r="K45" s="730"/>
      <c r="L45" s="728">
        <f t="shared" ref="L45:L56" si="29">I45</f>
        <v>7015.75</v>
      </c>
      <c r="M45" s="728">
        <v>4271.4</v>
      </c>
      <c r="N45" s="724"/>
      <c r="O45" s="724"/>
      <c r="P45" s="724"/>
      <c r="Q45" s="1137">
        <v>46265</v>
      </c>
      <c r="R45" s="730">
        <v>46296</v>
      </c>
      <c r="S45" s="1138" t="s">
        <v>87</v>
      </c>
      <c r="T45" s="726">
        <v>20</v>
      </c>
      <c r="U45" s="724"/>
      <c r="V45" s="724"/>
      <c r="W45" s="1044"/>
      <c r="X45" s="1045" t="str">
        <f t="shared" ref="X45:X72" si="30">IF(S45="Accrual",M45,"")</f>
        <v/>
      </c>
      <c r="Y45" s="1046" t="str">
        <f t="shared" ref="Y45:Y72" si="31">IF(S45="Receiving",M45,"")</f>
        <v/>
      </c>
      <c r="Z45" s="1047" t="str">
        <f t="shared" ref="Z45:Z72" si="32">IF(S45="Received",M45,"")</f>
        <v/>
      </c>
      <c r="AA45" s="1047" t="str">
        <f t="shared" ref="AA45:AA72" si="33">IF(S45="Approved",M45,"")</f>
        <v/>
      </c>
      <c r="AB45" s="1047" t="str">
        <f t="shared" ref="AB45:AB72" si="34">IF(S45="Paying",M45,"")</f>
        <v/>
      </c>
      <c r="AC45" s="1048">
        <f t="shared" ref="AC45:AC72" si="35">IF(S45="Completed",M45,"")</f>
        <v>4271.4</v>
      </c>
    </row>
    <row r="46" ht="12.5" spans="1:31">
      <c r="A46" s="1049">
        <v>46262</v>
      </c>
      <c r="B46" s="724" t="s">
        <v>268</v>
      </c>
      <c r="C46" s="725" t="s">
        <v>269</v>
      </c>
      <c r="D46" s="724" t="s">
        <v>226</v>
      </c>
      <c r="E46" s="725" t="s">
        <v>270</v>
      </c>
      <c r="F46" s="1139"/>
      <c r="G46" s="726">
        <v>923.53</v>
      </c>
      <c r="H46" s="727">
        <v>1</v>
      </c>
      <c r="I46" s="728">
        <f t="shared" si="28"/>
        <v>923.53</v>
      </c>
      <c r="J46" s="729">
        <v>2000007</v>
      </c>
      <c r="K46" s="730"/>
      <c r="L46" s="728">
        <f t="shared" si="29"/>
        <v>923.53</v>
      </c>
      <c r="M46" s="728">
        <f>L46</f>
        <v>923.53</v>
      </c>
      <c r="N46" s="724"/>
      <c r="O46" s="724"/>
      <c r="P46" s="724"/>
      <c r="Q46" s="730">
        <v>46283</v>
      </c>
      <c r="R46" s="730">
        <v>46313</v>
      </c>
      <c r="S46" s="725" t="s">
        <v>84</v>
      </c>
      <c r="T46" s="726"/>
      <c r="U46" s="724"/>
      <c r="V46" s="724"/>
      <c r="W46" s="1044"/>
      <c r="X46" s="1045" t="str">
        <f t="shared" si="30"/>
        <v/>
      </c>
      <c r="Y46" s="1046" t="str">
        <f t="shared" si="31"/>
        <v/>
      </c>
      <c r="Z46" s="1047">
        <f t="shared" si="32"/>
        <v>923.53</v>
      </c>
      <c r="AA46" s="1047" t="str">
        <f t="shared" si="33"/>
        <v/>
      </c>
      <c r="AB46" s="1047" t="str">
        <f t="shared" si="34"/>
        <v/>
      </c>
      <c r="AC46" s="1048" t="str">
        <f t="shared" si="35"/>
        <v/>
      </c>
    </row>
    <row r="47" ht="12" customHeight="1" spans="1:31">
      <c r="A47" s="1049">
        <v>46262</v>
      </c>
      <c r="B47" s="724" t="s">
        <v>271</v>
      </c>
      <c r="C47" s="725" t="s">
        <v>272</v>
      </c>
      <c r="D47" s="724" t="s">
        <v>226</v>
      </c>
      <c r="E47" s="725" t="s">
        <v>273</v>
      </c>
      <c r="F47" s="726"/>
      <c r="G47" s="726">
        <v>2832.54</v>
      </c>
      <c r="H47" s="1140">
        <v>1</v>
      </c>
      <c r="I47" s="728">
        <f t="shared" si="28"/>
        <v>2832.54</v>
      </c>
      <c r="J47" s="1074">
        <v>2000007</v>
      </c>
      <c r="K47" s="730"/>
      <c r="L47" s="728">
        <f t="shared" si="29"/>
        <v>2832.54</v>
      </c>
      <c r="M47" s="728">
        <v>3116.88</v>
      </c>
      <c r="N47" s="724"/>
      <c r="O47" s="724"/>
      <c r="P47" s="724"/>
      <c r="Q47" s="730">
        <v>46283</v>
      </c>
      <c r="R47" s="730">
        <v>46313</v>
      </c>
      <c r="S47" s="725" t="s">
        <v>84</v>
      </c>
      <c r="T47" s="726"/>
      <c r="U47" s="724"/>
      <c r="V47" s="724"/>
      <c r="W47" s="1044"/>
      <c r="X47" s="1045" t="str">
        <f t="shared" si="30"/>
        <v/>
      </c>
      <c r="Y47" s="1046" t="str">
        <f t="shared" si="31"/>
        <v/>
      </c>
      <c r="Z47" s="1047">
        <f t="shared" si="32"/>
        <v>3116.88</v>
      </c>
      <c r="AA47" s="1047" t="str">
        <f t="shared" si="33"/>
        <v/>
      </c>
      <c r="AB47" s="1047" t="str">
        <f t="shared" si="34"/>
        <v/>
      </c>
      <c r="AC47" s="1048" t="str">
        <f t="shared" si="35"/>
        <v/>
      </c>
    </row>
    <row r="48" ht="12.5" spans="1:31">
      <c r="A48" s="1049">
        <v>46262</v>
      </c>
      <c r="B48" s="724" t="s">
        <v>274</v>
      </c>
      <c r="C48" s="725" t="s">
        <v>275</v>
      </c>
      <c r="D48" s="724" t="s">
        <v>226</v>
      </c>
      <c r="E48" s="1122" t="s">
        <v>276</v>
      </c>
      <c r="F48" s="726"/>
      <c r="G48" s="726">
        <v>2745</v>
      </c>
      <c r="H48" s="1140">
        <v>1</v>
      </c>
      <c r="I48" s="728">
        <f t="shared" si="28"/>
        <v>2745</v>
      </c>
      <c r="J48" s="729">
        <v>2000007</v>
      </c>
      <c r="K48" s="730"/>
      <c r="L48" s="728">
        <f t="shared" si="29"/>
        <v>2745</v>
      </c>
      <c r="M48" s="728">
        <v>4000</v>
      </c>
      <c r="N48" s="724"/>
      <c r="O48" s="724"/>
      <c r="P48" s="724"/>
      <c r="Q48" s="730">
        <v>46283</v>
      </c>
      <c r="R48" s="730">
        <v>46313</v>
      </c>
      <c r="S48" s="725" t="s">
        <v>84</v>
      </c>
      <c r="T48" s="726"/>
      <c r="U48" s="724"/>
      <c r="V48" s="724"/>
      <c r="W48" s="1044"/>
      <c r="X48" s="1045" t="str">
        <f t="shared" si="30"/>
        <v/>
      </c>
      <c r="Y48" s="1046" t="str">
        <f t="shared" si="31"/>
        <v/>
      </c>
      <c r="Z48" s="1047">
        <f t="shared" si="32"/>
        <v>4000</v>
      </c>
      <c r="AA48" s="1047" t="str">
        <f t="shared" si="33"/>
        <v/>
      </c>
      <c r="AB48" s="1047" t="str">
        <f t="shared" si="34"/>
        <v/>
      </c>
      <c r="AC48" s="1048" t="str">
        <f t="shared" si="35"/>
        <v/>
      </c>
    </row>
    <row r="49" ht="14" customHeight="1" spans="1:30">
      <c r="A49" s="1049">
        <v>46262</v>
      </c>
      <c r="B49" s="724" t="s">
        <v>277</v>
      </c>
      <c r="C49" s="725" t="s">
        <v>278</v>
      </c>
      <c r="D49" s="724" t="s">
        <v>226</v>
      </c>
      <c r="E49" s="725" t="s">
        <v>279</v>
      </c>
      <c r="F49" s="726"/>
      <c r="G49" s="726">
        <v>1205.28</v>
      </c>
      <c r="H49" s="1140">
        <v>1</v>
      </c>
      <c r="I49" s="728">
        <f t="shared" si="28"/>
        <v>1205.28</v>
      </c>
      <c r="J49" s="729">
        <v>2000006</v>
      </c>
      <c r="K49" s="730"/>
      <c r="L49" s="728">
        <f t="shared" si="29"/>
        <v>1205.28</v>
      </c>
      <c r="M49" s="728">
        <f t="shared" ref="M49:M64" si="36">L49</f>
        <v>1205.28</v>
      </c>
      <c r="N49" s="724"/>
      <c r="O49" s="724"/>
      <c r="P49" s="724"/>
      <c r="Q49" s="730">
        <v>46283</v>
      </c>
      <c r="R49" s="730">
        <v>46313</v>
      </c>
      <c r="S49" s="725" t="s">
        <v>84</v>
      </c>
      <c r="T49" s="726"/>
      <c r="U49" s="724"/>
      <c r="V49" s="724"/>
      <c r="W49" s="1044"/>
      <c r="X49" s="1045" t="str">
        <f t="shared" si="30"/>
        <v/>
      </c>
      <c r="Y49" s="1046" t="str">
        <f t="shared" si="31"/>
        <v/>
      </c>
      <c r="Z49" s="1047">
        <f t="shared" si="32"/>
        <v>1205.28</v>
      </c>
      <c r="AA49" s="1047" t="str">
        <f t="shared" si="33"/>
        <v/>
      </c>
      <c r="AB49" s="1047" t="str">
        <f t="shared" si="34"/>
        <v/>
      </c>
      <c r="AC49" s="1048" t="str">
        <f t="shared" si="35"/>
        <v/>
      </c>
    </row>
    <row r="50" ht="12.5" spans="1:30">
      <c r="A50" s="1049">
        <v>46262</v>
      </c>
      <c r="B50" s="724" t="s">
        <v>280</v>
      </c>
      <c r="C50" s="725" t="s">
        <v>281</v>
      </c>
      <c r="D50" s="724" t="s">
        <v>226</v>
      </c>
      <c r="E50" s="725" t="s">
        <v>282</v>
      </c>
      <c r="F50" s="726"/>
      <c r="G50" s="726">
        <v>1620.42</v>
      </c>
      <c r="H50" s="727">
        <v>1</v>
      </c>
      <c r="I50" s="728">
        <f t="shared" si="28"/>
        <v>1620.42</v>
      </c>
      <c r="J50" s="729">
        <v>2000012</v>
      </c>
      <c r="K50" s="730"/>
      <c r="L50" s="728">
        <f t="shared" si="29"/>
        <v>1620.42</v>
      </c>
      <c r="M50" s="728">
        <f t="shared" si="36"/>
        <v>1620.42</v>
      </c>
      <c r="N50" s="724"/>
      <c r="O50" s="724"/>
      <c r="P50" s="724"/>
      <c r="Q50" s="730">
        <v>46283</v>
      </c>
      <c r="R50" s="730">
        <v>46313</v>
      </c>
      <c r="S50" s="725" t="s">
        <v>84</v>
      </c>
      <c r="T50" s="726"/>
      <c r="U50" s="724"/>
      <c r="V50" s="724"/>
      <c r="W50" s="1044"/>
      <c r="X50" s="1045" t="str">
        <f t="shared" si="30"/>
        <v/>
      </c>
      <c r="Y50" s="1046" t="str">
        <f t="shared" si="31"/>
        <v/>
      </c>
      <c r="Z50" s="1047">
        <f t="shared" si="32"/>
        <v>1620.42</v>
      </c>
      <c r="AA50" s="1047" t="str">
        <f t="shared" si="33"/>
        <v/>
      </c>
      <c r="AB50" s="1047" t="str">
        <f t="shared" si="34"/>
        <v/>
      </c>
      <c r="AC50" s="1048" t="str">
        <f t="shared" si="35"/>
        <v/>
      </c>
    </row>
    <row r="51" ht="12.5" spans="1:30">
      <c r="A51" s="1049">
        <v>46262</v>
      </c>
      <c r="B51" s="724" t="s">
        <v>283</v>
      </c>
      <c r="C51" s="725" t="s">
        <v>284</v>
      </c>
      <c r="D51" s="724" t="s">
        <v>226</v>
      </c>
      <c r="E51" s="725" t="s">
        <v>285</v>
      </c>
      <c r="F51" s="726"/>
      <c r="G51" s="726">
        <v>365.27</v>
      </c>
      <c r="H51" s="1140">
        <v>1</v>
      </c>
      <c r="I51" s="728">
        <f t="shared" si="28"/>
        <v>365.27</v>
      </c>
      <c r="J51" s="729">
        <v>2000001</v>
      </c>
      <c r="K51" s="730"/>
      <c r="L51" s="728">
        <f t="shared" si="29"/>
        <v>365.27</v>
      </c>
      <c r="M51" s="728">
        <f t="shared" si="36"/>
        <v>365.27</v>
      </c>
      <c r="N51" s="724"/>
      <c r="O51" s="724"/>
      <c r="P51" s="724"/>
      <c r="Q51" s="730">
        <v>46283</v>
      </c>
      <c r="R51" s="730">
        <v>46313</v>
      </c>
      <c r="S51" s="725" t="s">
        <v>84</v>
      </c>
      <c r="T51" s="726"/>
      <c r="U51" s="724"/>
      <c r="V51" s="724"/>
      <c r="W51" s="1044"/>
      <c r="X51" s="1045" t="str">
        <f t="shared" si="30"/>
        <v/>
      </c>
      <c r="Y51" s="1046" t="str">
        <f t="shared" si="31"/>
        <v/>
      </c>
      <c r="Z51" s="1047">
        <f t="shared" si="32"/>
        <v>365.27</v>
      </c>
      <c r="AA51" s="1047" t="str">
        <f t="shared" si="33"/>
        <v/>
      </c>
      <c r="AB51" s="1047" t="str">
        <f t="shared" si="34"/>
        <v/>
      </c>
      <c r="AC51" s="1048" t="str">
        <f t="shared" si="35"/>
        <v/>
      </c>
      <c r="AD51" s="319"/>
    </row>
    <row r="52" s="675" customFormat="1" ht="12" customHeight="1" spans="1:30">
      <c r="A52" s="1049">
        <v>46262</v>
      </c>
      <c r="B52" s="724" t="s">
        <v>286</v>
      </c>
      <c r="C52" s="725" t="s">
        <v>287</v>
      </c>
      <c r="D52" s="724" t="s">
        <v>226</v>
      </c>
      <c r="E52" s="725" t="s">
        <v>288</v>
      </c>
      <c r="F52" s="726"/>
      <c r="G52" s="726">
        <v>300</v>
      </c>
      <c r="H52" s="727">
        <v>1</v>
      </c>
      <c r="I52" s="728">
        <v>300</v>
      </c>
      <c r="J52" s="729">
        <v>3000007</v>
      </c>
      <c r="K52" s="730"/>
      <c r="L52" s="728">
        <f t="shared" si="29"/>
        <v>300</v>
      </c>
      <c r="M52" s="728">
        <f t="shared" si="36"/>
        <v>300</v>
      </c>
      <c r="N52" s="724"/>
      <c r="O52" s="724"/>
      <c r="P52" s="724"/>
      <c r="Q52" s="730">
        <v>46283</v>
      </c>
      <c r="R52" s="730">
        <v>46313</v>
      </c>
      <c r="S52" s="725" t="s">
        <v>84</v>
      </c>
      <c r="T52" s="726"/>
      <c r="U52" s="724"/>
      <c r="V52" s="724"/>
      <c r="W52" s="1044"/>
      <c r="X52" s="1045" t="str">
        <f t="shared" si="30"/>
        <v/>
      </c>
      <c r="Y52" s="1046" t="str">
        <f t="shared" si="31"/>
        <v/>
      </c>
      <c r="Z52" s="1047">
        <f t="shared" si="32"/>
        <v>300</v>
      </c>
      <c r="AA52" s="1047" t="str">
        <f t="shared" si="33"/>
        <v/>
      </c>
      <c r="AB52" s="1047" t="str">
        <f t="shared" si="34"/>
        <v/>
      </c>
      <c r="AC52" s="1048" t="str">
        <f t="shared" si="35"/>
        <v/>
      </c>
    </row>
    <row r="53" ht="12.5" spans="1:30">
      <c r="A53" s="1049">
        <v>46262</v>
      </c>
      <c r="B53" s="724" t="s">
        <v>289</v>
      </c>
      <c r="C53" s="725" t="s">
        <v>290</v>
      </c>
      <c r="D53" s="724" t="s">
        <v>291</v>
      </c>
      <c r="E53" s="725" t="s">
        <v>292</v>
      </c>
      <c r="F53" s="726"/>
      <c r="G53" s="1091">
        <v>16</v>
      </c>
      <c r="H53" s="727">
        <v>1</v>
      </c>
      <c r="I53" s="728">
        <f>G53*H53</f>
        <v>16</v>
      </c>
      <c r="J53" s="1093">
        <v>3000007</v>
      </c>
      <c r="K53" s="1094"/>
      <c r="L53" s="728">
        <f t="shared" si="29"/>
        <v>16</v>
      </c>
      <c r="M53" s="728">
        <f t="shared" si="36"/>
        <v>16</v>
      </c>
      <c r="N53" s="1095"/>
      <c r="O53" s="1095"/>
      <c r="P53" s="1095"/>
      <c r="Q53" s="1094"/>
      <c r="R53" s="1094"/>
      <c r="S53" s="725" t="s">
        <v>84</v>
      </c>
      <c r="T53" s="1091"/>
      <c r="U53" s="1095"/>
      <c r="V53" s="1095"/>
      <c r="W53" s="1096"/>
      <c r="X53" s="1045" t="str">
        <f t="shared" si="30"/>
        <v/>
      </c>
      <c r="Y53" s="1046" t="str">
        <f t="shared" si="31"/>
        <v/>
      </c>
      <c r="Z53" s="1047">
        <f t="shared" si="32"/>
        <v>16</v>
      </c>
      <c r="AA53" s="1047" t="str">
        <f t="shared" si="33"/>
        <v/>
      </c>
      <c r="AB53" s="1047" t="str">
        <f t="shared" si="34"/>
        <v/>
      </c>
      <c r="AC53" s="1048" t="str">
        <f t="shared" si="35"/>
        <v/>
      </c>
    </row>
    <row r="54" ht="12.5" spans="1:30">
      <c r="A54" s="1049">
        <v>46262</v>
      </c>
      <c r="B54" s="724" t="s">
        <v>293</v>
      </c>
      <c r="C54" s="725" t="s">
        <v>294</v>
      </c>
      <c r="D54" s="724" t="s">
        <v>291</v>
      </c>
      <c r="E54" s="725" t="s">
        <v>295</v>
      </c>
      <c r="F54" s="726"/>
      <c r="G54" s="726">
        <v>821.22</v>
      </c>
      <c r="H54" s="727">
        <v>1</v>
      </c>
      <c r="I54" s="728">
        <f>G54*H54</f>
        <v>821.22</v>
      </c>
      <c r="J54" s="729">
        <v>3000007</v>
      </c>
      <c r="K54" s="730"/>
      <c r="L54" s="728">
        <f t="shared" si="29"/>
        <v>821.22</v>
      </c>
      <c r="M54" s="728">
        <f t="shared" si="36"/>
        <v>821.22</v>
      </c>
      <c r="N54" s="724"/>
      <c r="O54" s="724"/>
      <c r="P54" s="724"/>
      <c r="Q54" s="730"/>
      <c r="R54" s="730"/>
      <c r="S54" s="725" t="s">
        <v>84</v>
      </c>
      <c r="T54" s="726"/>
      <c r="U54" s="724"/>
      <c r="V54" s="724"/>
      <c r="W54" s="1044"/>
      <c r="X54" s="1045" t="str">
        <f t="shared" si="30"/>
        <v/>
      </c>
      <c r="Y54" s="1046" t="str">
        <f t="shared" si="31"/>
        <v/>
      </c>
      <c r="Z54" s="1047">
        <f t="shared" si="32"/>
        <v>821.22</v>
      </c>
      <c r="AA54" s="1047" t="str">
        <f t="shared" si="33"/>
        <v/>
      </c>
      <c r="AB54" s="1047" t="str">
        <f t="shared" si="34"/>
        <v/>
      </c>
      <c r="AC54" s="1048" t="str">
        <f t="shared" si="35"/>
        <v/>
      </c>
    </row>
    <row r="55" ht="12.5" spans="1:30">
      <c r="A55" s="1049">
        <v>46262</v>
      </c>
      <c r="B55" s="724" t="s">
        <v>296</v>
      </c>
      <c r="C55" s="725" t="s">
        <v>297</v>
      </c>
      <c r="D55" s="724" t="s">
        <v>291</v>
      </c>
      <c r="E55" s="725" t="s">
        <v>298</v>
      </c>
      <c r="F55" s="726"/>
      <c r="G55" s="726">
        <v>31.56</v>
      </c>
      <c r="H55" s="727">
        <v>1</v>
      </c>
      <c r="I55" s="728">
        <f>G55*H55</f>
        <v>31.56</v>
      </c>
      <c r="J55" s="729">
        <v>3000007</v>
      </c>
      <c r="K55" s="730"/>
      <c r="L55" s="728">
        <f t="shared" si="29"/>
        <v>31.56</v>
      </c>
      <c r="M55" s="728">
        <f t="shared" si="36"/>
        <v>31.56</v>
      </c>
      <c r="N55" s="724"/>
      <c r="O55" s="724"/>
      <c r="P55" s="724"/>
      <c r="Q55" s="730"/>
      <c r="R55" s="730"/>
      <c r="S55" s="725" t="s">
        <v>84</v>
      </c>
      <c r="T55" s="726"/>
      <c r="U55" s="724"/>
      <c r="V55" s="724"/>
      <c r="W55" s="1044"/>
      <c r="X55" s="1045" t="str">
        <f t="shared" si="30"/>
        <v/>
      </c>
      <c r="Y55" s="1046" t="str">
        <f t="shared" si="31"/>
        <v/>
      </c>
      <c r="Z55" s="1047">
        <f t="shared" si="32"/>
        <v>31.56</v>
      </c>
      <c r="AA55" s="1047" t="str">
        <f t="shared" si="33"/>
        <v/>
      </c>
      <c r="AB55" s="1047" t="str">
        <f t="shared" si="34"/>
        <v/>
      </c>
      <c r="AC55" s="1048" t="str">
        <f t="shared" si="35"/>
        <v/>
      </c>
    </row>
    <row r="56" s="675" customFormat="1" ht="11.5" spans="1:30">
      <c r="A56" s="1049">
        <v>46262</v>
      </c>
      <c r="B56" s="1075" t="s">
        <v>299</v>
      </c>
      <c r="C56" s="725" t="s">
        <v>300</v>
      </c>
      <c r="D56" s="724" t="s">
        <v>226</v>
      </c>
      <c r="E56" s="725" t="s">
        <v>301</v>
      </c>
      <c r="F56" s="726"/>
      <c r="G56" s="726">
        <v>35</v>
      </c>
      <c r="H56" s="727">
        <v>1</v>
      </c>
      <c r="I56" s="728">
        <v>35</v>
      </c>
      <c r="J56" s="729">
        <v>3000007</v>
      </c>
      <c r="K56" s="730"/>
      <c r="L56" s="728">
        <f t="shared" si="29"/>
        <v>35</v>
      </c>
      <c r="M56" s="728">
        <f t="shared" si="36"/>
        <v>35</v>
      </c>
      <c r="N56" s="724"/>
      <c r="O56" s="724"/>
      <c r="P56" s="724"/>
      <c r="Q56" s="730">
        <v>46283</v>
      </c>
      <c r="R56" s="730">
        <v>46313</v>
      </c>
      <c r="S56" s="725" t="s">
        <v>84</v>
      </c>
      <c r="T56" s="726"/>
      <c r="U56" s="724"/>
      <c r="V56" s="724"/>
      <c r="W56" s="1044"/>
      <c r="X56" s="1045" t="str">
        <f t="shared" si="30"/>
        <v/>
      </c>
      <c r="Y56" s="1046" t="str">
        <f t="shared" si="31"/>
        <v/>
      </c>
      <c r="Z56" s="1047">
        <f t="shared" si="32"/>
        <v>35</v>
      </c>
      <c r="AA56" s="1047" t="str">
        <f t="shared" si="33"/>
        <v/>
      </c>
      <c r="AB56" s="1047" t="str">
        <f t="shared" si="34"/>
        <v/>
      </c>
      <c r="AC56" s="1048" t="str">
        <f t="shared" si="35"/>
        <v/>
      </c>
    </row>
    <row r="57" s="675" customFormat="1" ht="11.5" spans="1:30">
      <c r="A57" s="1049">
        <v>46262</v>
      </c>
      <c r="B57" s="1075" t="s">
        <v>302</v>
      </c>
      <c r="C57" s="1076" t="s">
        <v>303</v>
      </c>
      <c r="D57" s="724" t="s">
        <v>226</v>
      </c>
      <c r="E57" s="725" t="s">
        <v>304</v>
      </c>
      <c r="F57" s="726"/>
      <c r="G57" s="726">
        <v>194.68</v>
      </c>
      <c r="H57" s="727">
        <v>1</v>
      </c>
      <c r="I57" s="726">
        <v>194.68</v>
      </c>
      <c r="J57" s="729">
        <v>3000007</v>
      </c>
      <c r="K57" s="730"/>
      <c r="L57" s="726">
        <v>194.68</v>
      </c>
      <c r="M57" s="728">
        <f t="shared" si="36"/>
        <v>194.68</v>
      </c>
      <c r="N57" s="724"/>
      <c r="O57" s="724"/>
      <c r="P57" s="724"/>
      <c r="Q57" s="730">
        <v>46283</v>
      </c>
      <c r="R57" s="730">
        <v>46313</v>
      </c>
      <c r="S57" s="725" t="s">
        <v>84</v>
      </c>
      <c r="T57" s="726"/>
      <c r="U57" s="724"/>
      <c r="V57" s="724"/>
      <c r="W57" s="1044"/>
      <c r="X57" s="1045" t="str">
        <f t="shared" si="30"/>
        <v/>
      </c>
      <c r="Y57" s="1046" t="str">
        <f t="shared" si="31"/>
        <v/>
      </c>
      <c r="Z57" s="1047">
        <f t="shared" si="32"/>
        <v>194.68</v>
      </c>
      <c r="AA57" s="1047" t="str">
        <f t="shared" si="33"/>
        <v/>
      </c>
      <c r="AB57" s="1047" t="str">
        <f t="shared" si="34"/>
        <v/>
      </c>
      <c r="AC57" s="1048" t="str">
        <f t="shared" si="35"/>
        <v/>
      </c>
    </row>
    <row r="58" s="675" customFormat="1" ht="11.5" spans="1:30">
      <c r="A58" s="1049">
        <v>46262</v>
      </c>
      <c r="B58" s="1075" t="s">
        <v>305</v>
      </c>
      <c r="C58" s="1076" t="s">
        <v>306</v>
      </c>
      <c r="D58" s="724" t="s">
        <v>226</v>
      </c>
      <c r="E58" s="725" t="s">
        <v>307</v>
      </c>
      <c r="F58" s="726"/>
      <c r="G58" s="726">
        <v>2523</v>
      </c>
      <c r="H58" s="727">
        <v>1</v>
      </c>
      <c r="I58" s="728">
        <f>G58*H58</f>
        <v>2523</v>
      </c>
      <c r="J58" s="729">
        <v>3000007</v>
      </c>
      <c r="K58" s="730"/>
      <c r="L58" s="726">
        <v>2523</v>
      </c>
      <c r="M58" s="728">
        <f t="shared" si="36"/>
        <v>2523</v>
      </c>
      <c r="N58" s="724"/>
      <c r="O58" s="724"/>
      <c r="P58" s="724"/>
      <c r="Q58" s="730">
        <v>46283</v>
      </c>
      <c r="R58" s="730">
        <v>46313</v>
      </c>
      <c r="S58" s="725" t="s">
        <v>84</v>
      </c>
      <c r="T58" s="726"/>
      <c r="U58" s="724"/>
      <c r="V58" s="724"/>
      <c r="W58" s="1044"/>
      <c r="X58" s="1045" t="str">
        <f t="shared" si="30"/>
        <v/>
      </c>
      <c r="Y58" s="1046" t="str">
        <f t="shared" si="31"/>
        <v/>
      </c>
      <c r="Z58" s="1047">
        <f t="shared" si="32"/>
        <v>2523</v>
      </c>
      <c r="AA58" s="1047" t="str">
        <f t="shared" si="33"/>
        <v/>
      </c>
      <c r="AB58" s="1047" t="str">
        <f t="shared" si="34"/>
        <v/>
      </c>
      <c r="AC58" s="1048" t="str">
        <f t="shared" si="35"/>
        <v/>
      </c>
    </row>
    <row r="59" s="675" customFormat="1" ht="11.5" spans="1:30">
      <c r="A59" s="1049">
        <v>46262</v>
      </c>
      <c r="B59" s="1075" t="s">
        <v>308</v>
      </c>
      <c r="C59" s="1076" t="s">
        <v>309</v>
      </c>
      <c r="D59" s="724" t="s">
        <v>226</v>
      </c>
      <c r="E59" s="725" t="s">
        <v>310</v>
      </c>
      <c r="F59" s="726"/>
      <c r="G59" s="726">
        <v>332</v>
      </c>
      <c r="H59" s="727">
        <v>1</v>
      </c>
      <c r="I59" s="728">
        <v>332</v>
      </c>
      <c r="J59" s="729">
        <v>3000012</v>
      </c>
      <c r="K59" s="730"/>
      <c r="L59" s="728">
        <v>332</v>
      </c>
      <c r="M59" s="728">
        <f t="shared" si="36"/>
        <v>332</v>
      </c>
      <c r="N59" s="724"/>
      <c r="O59" s="724"/>
      <c r="P59" s="724"/>
      <c r="Q59" s="730">
        <v>46283</v>
      </c>
      <c r="R59" s="730">
        <v>46313</v>
      </c>
      <c r="S59" s="725" t="s">
        <v>84</v>
      </c>
      <c r="T59" s="726"/>
      <c r="U59" s="724"/>
      <c r="V59" s="724"/>
      <c r="W59" s="1044"/>
      <c r="X59" s="1045" t="str">
        <f t="shared" si="30"/>
        <v/>
      </c>
      <c r="Y59" s="1046" t="str">
        <f t="shared" si="31"/>
        <v/>
      </c>
      <c r="Z59" s="1047">
        <f t="shared" si="32"/>
        <v>332</v>
      </c>
      <c r="AA59" s="1047" t="str">
        <f t="shared" si="33"/>
        <v/>
      </c>
      <c r="AB59" s="1047" t="str">
        <f t="shared" si="34"/>
        <v/>
      </c>
      <c r="AC59" s="1048" t="str">
        <f t="shared" si="35"/>
        <v/>
      </c>
    </row>
    <row r="60" ht="12.5" spans="1:30">
      <c r="A60" s="1049">
        <v>46262</v>
      </c>
      <c r="B60" s="724" t="s">
        <v>311</v>
      </c>
      <c r="C60" s="725" t="s">
        <v>312</v>
      </c>
      <c r="D60" s="724" t="s">
        <v>313</v>
      </c>
      <c r="E60" s="725" t="s">
        <v>314</v>
      </c>
      <c r="F60" s="726"/>
      <c r="G60" s="726">
        <v>2032.5</v>
      </c>
      <c r="H60" s="727">
        <v>1</v>
      </c>
      <c r="I60" s="728">
        <f>G60*H60</f>
        <v>2032.5</v>
      </c>
      <c r="J60" s="729">
        <v>3000008</v>
      </c>
      <c r="K60" s="730"/>
      <c r="L60" s="728">
        <f>I60</f>
        <v>2032.5</v>
      </c>
      <c r="M60" s="728">
        <f t="shared" si="36"/>
        <v>2032.5</v>
      </c>
      <c r="N60" s="724"/>
      <c r="O60" s="724"/>
      <c r="P60" s="724"/>
      <c r="Q60" s="730"/>
      <c r="R60" s="730"/>
      <c r="S60" s="1138" t="s">
        <v>82</v>
      </c>
      <c r="T60" s="726"/>
      <c r="U60" s="724"/>
      <c r="V60" s="724"/>
      <c r="W60" s="1044"/>
      <c r="X60" s="1045">
        <f t="shared" si="30"/>
        <v>2032.5</v>
      </c>
      <c r="Y60" s="1046" t="str">
        <f t="shared" si="31"/>
        <v/>
      </c>
      <c r="Z60" s="1047" t="str">
        <f t="shared" si="32"/>
        <v/>
      </c>
      <c r="AA60" s="1047" t="str">
        <f t="shared" si="33"/>
        <v/>
      </c>
      <c r="AB60" s="1047" t="str">
        <f t="shared" si="34"/>
        <v/>
      </c>
      <c r="AC60" s="1048" t="str">
        <f t="shared" si="35"/>
        <v/>
      </c>
    </row>
    <row r="61" s="675" customFormat="1" ht="11.5" spans="1:30">
      <c r="A61" s="1049">
        <v>46262</v>
      </c>
      <c r="B61" s="1075" t="s">
        <v>315</v>
      </c>
      <c r="C61" s="1076" t="s">
        <v>316</v>
      </c>
      <c r="D61" s="724" t="s">
        <v>226</v>
      </c>
      <c r="E61" s="725" t="s">
        <v>317</v>
      </c>
      <c r="F61" s="726"/>
      <c r="G61" s="726">
        <v>996</v>
      </c>
      <c r="H61" s="727">
        <v>1</v>
      </c>
      <c r="I61" s="728">
        <v>996</v>
      </c>
      <c r="J61" s="729">
        <v>3000008</v>
      </c>
      <c r="K61" s="730"/>
      <c r="L61" s="728">
        <v>996</v>
      </c>
      <c r="M61" s="728">
        <f t="shared" si="36"/>
        <v>996</v>
      </c>
      <c r="N61" s="724"/>
      <c r="O61" s="724"/>
      <c r="P61" s="724"/>
      <c r="Q61" s="730">
        <v>46283</v>
      </c>
      <c r="R61" s="730">
        <v>46313</v>
      </c>
      <c r="S61" s="725" t="s">
        <v>84</v>
      </c>
      <c r="T61" s="726"/>
      <c r="U61" s="724"/>
      <c r="V61" s="724"/>
      <c r="W61" s="1044"/>
      <c r="X61" s="1045" t="str">
        <f t="shared" si="30"/>
        <v/>
      </c>
      <c r="Y61" s="1046" t="str">
        <f t="shared" si="31"/>
        <v/>
      </c>
      <c r="Z61" s="1047">
        <f t="shared" si="32"/>
        <v>996</v>
      </c>
      <c r="AA61" s="1047" t="str">
        <f t="shared" si="33"/>
        <v/>
      </c>
      <c r="AB61" s="1047" t="str">
        <f t="shared" si="34"/>
        <v/>
      </c>
      <c r="AC61" s="1048" t="str">
        <f t="shared" si="35"/>
        <v/>
      </c>
    </row>
    <row r="62" ht="12.5" spans="1:30">
      <c r="A62" s="1049">
        <v>46262</v>
      </c>
      <c r="B62" s="724" t="s">
        <v>318</v>
      </c>
      <c r="C62" s="725" t="s">
        <v>319</v>
      </c>
      <c r="D62" s="724" t="s">
        <v>313</v>
      </c>
      <c r="E62" s="725" t="s">
        <v>320</v>
      </c>
      <c r="F62" s="726"/>
      <c r="G62" s="726">
        <v>136.36</v>
      </c>
      <c r="H62" s="1140">
        <v>1</v>
      </c>
      <c r="I62" s="728">
        <f>G62*H62</f>
        <v>136.36</v>
      </c>
      <c r="J62" s="729">
        <v>3000012</v>
      </c>
      <c r="K62" s="730"/>
      <c r="L62" s="728">
        <f>I62</f>
        <v>136.36</v>
      </c>
      <c r="M62" s="728">
        <f t="shared" si="36"/>
        <v>136.36</v>
      </c>
      <c r="N62" s="1097"/>
      <c r="O62" s="724"/>
      <c r="P62" s="724"/>
      <c r="Q62" s="730"/>
      <c r="R62" s="730"/>
      <c r="S62" s="1138" t="s">
        <v>82</v>
      </c>
      <c r="T62" s="726"/>
      <c r="U62" s="724"/>
      <c r="V62" s="724"/>
      <c r="W62" s="1044"/>
      <c r="X62" s="1045">
        <f t="shared" si="30"/>
        <v>136.36</v>
      </c>
      <c r="Y62" s="1046" t="str">
        <f t="shared" si="31"/>
        <v/>
      </c>
      <c r="Z62" s="1047" t="str">
        <f t="shared" si="32"/>
        <v/>
      </c>
      <c r="AA62" s="1047" t="str">
        <f t="shared" si="33"/>
        <v/>
      </c>
      <c r="AB62" s="1047" t="str">
        <f t="shared" si="34"/>
        <v/>
      </c>
      <c r="AC62" s="1048" t="str">
        <f t="shared" si="35"/>
        <v/>
      </c>
    </row>
    <row r="63" ht="12.5" spans="1:30">
      <c r="A63" s="1058">
        <v>46262</v>
      </c>
      <c r="B63" s="1141" t="s">
        <v>321</v>
      </c>
      <c r="C63" s="1142" t="s">
        <v>322</v>
      </c>
      <c r="D63" s="724" t="s">
        <v>226</v>
      </c>
      <c r="E63" s="725" t="s">
        <v>323</v>
      </c>
      <c r="F63" s="726"/>
      <c r="G63" s="726">
        <v>937</v>
      </c>
      <c r="H63" s="727">
        <v>1</v>
      </c>
      <c r="I63" s="728">
        <v>937</v>
      </c>
      <c r="J63" s="725">
        <v>3000012</v>
      </c>
      <c r="K63" s="730"/>
      <c r="L63" s="728">
        <v>937</v>
      </c>
      <c r="M63" s="728">
        <f t="shared" si="36"/>
        <v>937</v>
      </c>
      <c r="N63" s="724"/>
      <c r="O63" s="724"/>
      <c r="P63" s="724"/>
      <c r="Q63" s="730">
        <v>46283</v>
      </c>
      <c r="R63" s="730">
        <v>46313</v>
      </c>
      <c r="S63" s="725" t="s">
        <v>84</v>
      </c>
      <c r="T63" s="726"/>
      <c r="U63" s="724"/>
      <c r="V63" s="724"/>
      <c r="W63" s="1044"/>
      <c r="X63" s="1045" t="str">
        <f t="shared" si="30"/>
        <v/>
      </c>
      <c r="Y63" s="1046" t="str">
        <f t="shared" si="31"/>
        <v/>
      </c>
      <c r="Z63" s="1047">
        <f t="shared" si="32"/>
        <v>937</v>
      </c>
      <c r="AA63" s="1047" t="str">
        <f t="shared" si="33"/>
        <v/>
      </c>
      <c r="AB63" s="1047" t="str">
        <f t="shared" si="34"/>
        <v/>
      </c>
      <c r="AC63" s="1048" t="str">
        <f t="shared" si="35"/>
        <v/>
      </c>
    </row>
    <row r="64" ht="12.5" spans="1:30">
      <c r="A64" s="1049">
        <v>46262</v>
      </c>
      <c r="B64" s="724" t="s">
        <v>324</v>
      </c>
      <c r="C64" s="725" t="s">
        <v>325</v>
      </c>
      <c r="D64" s="724" t="s">
        <v>313</v>
      </c>
      <c r="E64" s="725" t="s">
        <v>326</v>
      </c>
      <c r="F64" s="726"/>
      <c r="G64" s="726">
        <v>904.33</v>
      </c>
      <c r="H64" s="1140">
        <v>1</v>
      </c>
      <c r="I64" s="728">
        <f>G64*H64</f>
        <v>904.33</v>
      </c>
      <c r="J64" s="729">
        <v>3000012</v>
      </c>
      <c r="K64" s="730"/>
      <c r="L64" s="728">
        <f>I64</f>
        <v>904.33</v>
      </c>
      <c r="M64" s="728">
        <f t="shared" si="36"/>
        <v>904.33</v>
      </c>
      <c r="N64" s="724"/>
      <c r="O64" s="724"/>
      <c r="P64" s="724"/>
      <c r="Q64" s="730"/>
      <c r="R64" s="730"/>
      <c r="S64" s="1138" t="s">
        <v>82</v>
      </c>
      <c r="T64" s="726"/>
      <c r="U64" s="724"/>
      <c r="V64" s="724"/>
      <c r="W64" s="1044"/>
      <c r="X64" s="1045">
        <f t="shared" si="30"/>
        <v>904.33</v>
      </c>
      <c r="Y64" s="1046" t="str">
        <f t="shared" si="31"/>
        <v/>
      </c>
      <c r="Z64" s="1047" t="str">
        <f t="shared" si="32"/>
        <v/>
      </c>
      <c r="AA64" s="1047" t="str">
        <f t="shared" si="33"/>
        <v/>
      </c>
      <c r="AB64" s="1047" t="str">
        <f t="shared" si="34"/>
        <v/>
      </c>
      <c r="AC64" s="1048" t="str">
        <f t="shared" si="35"/>
        <v/>
      </c>
    </row>
    <row r="65" ht="12.5" spans="1:31">
      <c r="A65" s="1049">
        <v>46262</v>
      </c>
      <c r="B65" s="724" t="s">
        <v>327</v>
      </c>
      <c r="C65" s="725" t="s">
        <v>328</v>
      </c>
      <c r="D65" s="724" t="s">
        <v>329</v>
      </c>
      <c r="E65" s="1057" t="s">
        <v>330</v>
      </c>
      <c r="F65" s="726"/>
      <c r="G65" s="726">
        <v>1127.37</v>
      </c>
      <c r="H65" s="727">
        <v>1</v>
      </c>
      <c r="I65" s="728">
        <f>G65*H65</f>
        <v>1127.37</v>
      </c>
      <c r="J65" s="729">
        <v>3000006</v>
      </c>
      <c r="K65" s="730"/>
      <c r="L65" s="728">
        <f>I65</f>
        <v>1127.37</v>
      </c>
      <c r="M65" s="728">
        <f>L65+100</f>
        <v>1227.37</v>
      </c>
      <c r="N65" s="724"/>
      <c r="O65" s="724"/>
      <c r="P65" s="724"/>
      <c r="Q65" s="730"/>
      <c r="R65" s="730"/>
      <c r="S65" s="725" t="s">
        <v>84</v>
      </c>
      <c r="T65" s="726"/>
      <c r="U65" s="724"/>
      <c r="V65" s="724"/>
      <c r="W65" s="1044"/>
      <c r="X65" s="1045" t="str">
        <f t="shared" si="30"/>
        <v/>
      </c>
      <c r="Y65" s="1046" t="str">
        <f t="shared" si="31"/>
        <v/>
      </c>
      <c r="Z65" s="1047">
        <f t="shared" si="32"/>
        <v>1227.37</v>
      </c>
      <c r="AA65" s="1047" t="str">
        <f t="shared" si="33"/>
        <v/>
      </c>
      <c r="AB65" s="1047" t="str">
        <f t="shared" si="34"/>
        <v/>
      </c>
      <c r="AC65" s="1048" t="str">
        <f t="shared" si="35"/>
        <v/>
      </c>
      <c r="AE65" s="466"/>
    </row>
    <row r="66" s="675" customFormat="1" ht="11.5" spans="1:31">
      <c r="A66" s="1049">
        <v>46262</v>
      </c>
      <c r="B66" s="1075" t="s">
        <v>331</v>
      </c>
      <c r="C66" s="1076" t="s">
        <v>332</v>
      </c>
      <c r="D66" s="724" t="s">
        <v>226</v>
      </c>
      <c r="E66" s="725" t="s">
        <v>333</v>
      </c>
      <c r="F66" s="726"/>
      <c r="G66" s="726">
        <v>1741.1</v>
      </c>
      <c r="H66" s="727">
        <v>1</v>
      </c>
      <c r="I66" s="728">
        <v>1741.1</v>
      </c>
      <c r="J66" s="729">
        <v>3000010</v>
      </c>
      <c r="K66" s="730"/>
      <c r="L66" s="728">
        <v>1741.1</v>
      </c>
      <c r="M66" s="728">
        <v>1837.47</v>
      </c>
      <c r="N66" s="724"/>
      <c r="O66" s="724"/>
      <c r="P66" s="724"/>
      <c r="Q66" s="730">
        <v>46283</v>
      </c>
      <c r="R66" s="730">
        <v>46313</v>
      </c>
      <c r="S66" s="725" t="s">
        <v>84</v>
      </c>
      <c r="T66" s="726"/>
      <c r="U66" s="724"/>
      <c r="V66" s="724"/>
      <c r="W66" s="1044"/>
      <c r="X66" s="1045" t="str">
        <f t="shared" si="30"/>
        <v/>
      </c>
      <c r="Y66" s="1046" t="str">
        <f t="shared" si="31"/>
        <v/>
      </c>
      <c r="Z66" s="1047">
        <f t="shared" si="32"/>
        <v>1837.47</v>
      </c>
      <c r="AA66" s="1047" t="str">
        <f t="shared" si="33"/>
        <v/>
      </c>
      <c r="AB66" s="1047" t="str">
        <f t="shared" si="34"/>
        <v/>
      </c>
      <c r="AC66" s="1048" t="str">
        <f t="shared" si="35"/>
        <v/>
      </c>
    </row>
    <row r="67" s="675" customFormat="1" ht="11.5" spans="1:31">
      <c r="A67" s="1049">
        <v>46262</v>
      </c>
      <c r="B67" s="1075" t="s">
        <v>334</v>
      </c>
      <c r="C67" s="725" t="s">
        <v>335</v>
      </c>
      <c r="D67" s="724" t="s">
        <v>226</v>
      </c>
      <c r="E67" s="725" t="s">
        <v>336</v>
      </c>
      <c r="F67" s="726"/>
      <c r="G67" s="726">
        <v>3206.79</v>
      </c>
      <c r="H67" s="727">
        <v>1</v>
      </c>
      <c r="I67" s="728">
        <v>3206.79</v>
      </c>
      <c r="J67" s="729">
        <v>3000004</v>
      </c>
      <c r="K67" s="730"/>
      <c r="L67" s="728">
        <v>3206.79</v>
      </c>
      <c r="M67" s="728">
        <v>1620.58</v>
      </c>
      <c r="N67" s="724"/>
      <c r="O67" s="724"/>
      <c r="P67" s="724"/>
      <c r="Q67" s="730">
        <v>46283</v>
      </c>
      <c r="R67" s="730">
        <v>46313</v>
      </c>
      <c r="S67" s="725" t="s">
        <v>84</v>
      </c>
      <c r="T67" s="726"/>
      <c r="U67" s="724"/>
      <c r="V67" s="724"/>
      <c r="W67" s="1044"/>
      <c r="X67" s="1045" t="str">
        <f t="shared" si="30"/>
        <v/>
      </c>
      <c r="Y67" s="1046" t="str">
        <f t="shared" si="31"/>
        <v/>
      </c>
      <c r="Z67" s="1047">
        <f t="shared" si="32"/>
        <v>1620.58</v>
      </c>
      <c r="AA67" s="1047" t="str">
        <f t="shared" si="33"/>
        <v/>
      </c>
      <c r="AB67" s="1047" t="str">
        <f t="shared" si="34"/>
        <v/>
      </c>
      <c r="AC67" s="1048" t="str">
        <f t="shared" si="35"/>
        <v/>
      </c>
    </row>
    <row r="68" s="675" customFormat="1" ht="11.5" spans="1:31">
      <c r="A68" s="1049">
        <v>46262</v>
      </c>
      <c r="B68" s="1075" t="s">
        <v>337</v>
      </c>
      <c r="C68" s="1076" t="s">
        <v>338</v>
      </c>
      <c r="D68" s="724" t="s">
        <v>226</v>
      </c>
      <c r="E68" s="725" t="s">
        <v>339</v>
      </c>
      <c r="F68" s="726"/>
      <c r="G68" s="1143">
        <v>700</v>
      </c>
      <c r="H68" s="727">
        <v>1</v>
      </c>
      <c r="I68" s="1143">
        <v>700</v>
      </c>
      <c r="J68" s="729">
        <v>3000012</v>
      </c>
      <c r="K68" s="730"/>
      <c r="L68" s="728">
        <f t="shared" ref="L68:L77" si="37">I68</f>
        <v>700</v>
      </c>
      <c r="M68" s="728">
        <f t="shared" ref="M68:M73" si="38">L68</f>
        <v>700</v>
      </c>
      <c r="N68" s="724"/>
      <c r="O68" s="724"/>
      <c r="P68" s="724"/>
      <c r="Q68" s="730">
        <v>46283</v>
      </c>
      <c r="R68" s="730">
        <v>46313</v>
      </c>
      <c r="S68" s="725" t="s">
        <v>84</v>
      </c>
      <c r="T68" s="726"/>
      <c r="U68" s="724"/>
      <c r="V68" s="724"/>
      <c r="W68" s="1044"/>
      <c r="X68" s="1045" t="str">
        <f t="shared" si="30"/>
        <v/>
      </c>
      <c r="Y68" s="1046" t="str">
        <f t="shared" si="31"/>
        <v/>
      </c>
      <c r="Z68" s="1047">
        <f t="shared" si="32"/>
        <v>700</v>
      </c>
      <c r="AA68" s="1047" t="str">
        <f t="shared" si="33"/>
        <v/>
      </c>
      <c r="AB68" s="1047" t="str">
        <f t="shared" si="34"/>
        <v/>
      </c>
      <c r="AC68" s="1048" t="str">
        <f t="shared" si="35"/>
        <v/>
      </c>
    </row>
    <row r="69" s="675" customFormat="1" ht="11.5" spans="1:31">
      <c r="A69" s="1049">
        <v>46262</v>
      </c>
      <c r="B69" s="1075" t="s">
        <v>340</v>
      </c>
      <c r="C69" s="725" t="s">
        <v>341</v>
      </c>
      <c r="D69" s="724" t="s">
        <v>226</v>
      </c>
      <c r="E69" s="725" t="s">
        <v>342</v>
      </c>
      <c r="F69" s="726"/>
      <c r="G69" s="726">
        <v>155</v>
      </c>
      <c r="H69" s="727">
        <v>1</v>
      </c>
      <c r="I69" s="728">
        <v>155</v>
      </c>
      <c r="J69" s="729">
        <v>3000004</v>
      </c>
      <c r="K69" s="730"/>
      <c r="L69" s="728">
        <f t="shared" si="37"/>
        <v>155</v>
      </c>
      <c r="M69" s="728">
        <f t="shared" si="38"/>
        <v>155</v>
      </c>
      <c r="N69" s="724"/>
      <c r="O69" s="724"/>
      <c r="P69" s="724"/>
      <c r="Q69" s="730">
        <v>46283</v>
      </c>
      <c r="R69" s="730">
        <v>46313</v>
      </c>
      <c r="S69" s="725" t="s">
        <v>84</v>
      </c>
      <c r="T69" s="726"/>
      <c r="U69" s="724"/>
      <c r="V69" s="724"/>
      <c r="W69" s="1044"/>
      <c r="X69" s="1045" t="str">
        <f t="shared" si="30"/>
        <v/>
      </c>
      <c r="Y69" s="1046" t="str">
        <f t="shared" si="31"/>
        <v/>
      </c>
      <c r="Z69" s="1047">
        <f t="shared" si="32"/>
        <v>155</v>
      </c>
      <c r="AA69" s="1047" t="str">
        <f t="shared" si="33"/>
        <v/>
      </c>
      <c r="AB69" s="1047" t="str">
        <f t="shared" si="34"/>
        <v/>
      </c>
      <c r="AC69" s="1048" t="str">
        <f t="shared" si="35"/>
        <v/>
      </c>
    </row>
    <row r="70" ht="12.5" spans="1:31">
      <c r="A70" s="1049">
        <v>46262</v>
      </c>
      <c r="B70" s="724" t="s">
        <v>343</v>
      </c>
      <c r="C70" s="725" t="s">
        <v>344</v>
      </c>
      <c r="D70" s="724" t="s">
        <v>329</v>
      </c>
      <c r="E70" s="725" t="s">
        <v>345</v>
      </c>
      <c r="F70" s="726"/>
      <c r="G70" s="726">
        <v>485</v>
      </c>
      <c r="H70" s="727">
        <v>1</v>
      </c>
      <c r="I70" s="728">
        <f>G70*H70</f>
        <v>485</v>
      </c>
      <c r="J70" s="729">
        <v>3000003</v>
      </c>
      <c r="K70" s="730"/>
      <c r="L70" s="728">
        <f t="shared" si="37"/>
        <v>485</v>
      </c>
      <c r="M70" s="728">
        <f t="shared" si="38"/>
        <v>485</v>
      </c>
      <c r="N70" s="724"/>
      <c r="O70" s="724"/>
      <c r="P70" s="724"/>
      <c r="Q70" s="730"/>
      <c r="R70" s="730"/>
      <c r="S70" s="725" t="s">
        <v>84</v>
      </c>
      <c r="T70" s="726"/>
      <c r="U70" s="724"/>
      <c r="V70" s="724"/>
      <c r="W70" s="1044"/>
      <c r="X70" s="1045" t="str">
        <f t="shared" si="30"/>
        <v/>
      </c>
      <c r="Y70" s="1046" t="str">
        <f t="shared" si="31"/>
        <v/>
      </c>
      <c r="Z70" s="1047">
        <f t="shared" si="32"/>
        <v>485</v>
      </c>
      <c r="AA70" s="1047" t="str">
        <f t="shared" si="33"/>
        <v/>
      </c>
      <c r="AB70" s="1047" t="str">
        <f t="shared" si="34"/>
        <v/>
      </c>
      <c r="AC70" s="1048" t="str">
        <f t="shared" si="35"/>
        <v/>
      </c>
      <c r="AE70" s="466"/>
    </row>
    <row r="71" s="675" customFormat="1" ht="11.5" spans="1:31">
      <c r="A71" s="1049">
        <v>46262</v>
      </c>
      <c r="B71" s="1075" t="s">
        <v>343</v>
      </c>
      <c r="C71" s="725" t="s">
        <v>346</v>
      </c>
      <c r="D71" s="724" t="s">
        <v>226</v>
      </c>
      <c r="E71" s="725" t="s">
        <v>347</v>
      </c>
      <c r="F71" s="726"/>
      <c r="G71" s="726">
        <v>350</v>
      </c>
      <c r="H71" s="727">
        <v>1</v>
      </c>
      <c r="I71" s="728">
        <v>350</v>
      </c>
      <c r="J71" s="729">
        <v>3000012</v>
      </c>
      <c r="K71" s="730"/>
      <c r="L71" s="728">
        <f t="shared" si="37"/>
        <v>350</v>
      </c>
      <c r="M71" s="728">
        <f t="shared" si="38"/>
        <v>350</v>
      </c>
      <c r="N71" s="724"/>
      <c r="O71" s="724"/>
      <c r="P71" s="724"/>
      <c r="Q71" s="730">
        <v>46283</v>
      </c>
      <c r="R71" s="730">
        <v>46313</v>
      </c>
      <c r="S71" s="725" t="s">
        <v>84</v>
      </c>
      <c r="T71" s="726"/>
      <c r="U71" s="724"/>
      <c r="V71" s="724"/>
      <c r="W71" s="1044"/>
      <c r="X71" s="1045" t="str">
        <f t="shared" si="30"/>
        <v/>
      </c>
      <c r="Y71" s="1046" t="str">
        <f t="shared" si="31"/>
        <v/>
      </c>
      <c r="Z71" s="1047">
        <f t="shared" si="32"/>
        <v>350</v>
      </c>
      <c r="AA71" s="1047" t="str">
        <f t="shared" si="33"/>
        <v/>
      </c>
      <c r="AB71" s="1047" t="str">
        <f t="shared" si="34"/>
        <v/>
      </c>
      <c r="AC71" s="1048" t="str">
        <f t="shared" si="35"/>
        <v/>
      </c>
    </row>
    <row r="72" s="675" customFormat="1" ht="11.5" spans="1:31">
      <c r="A72" s="723">
        <v>46262</v>
      </c>
      <c r="B72" s="1075" t="s">
        <v>348</v>
      </c>
      <c r="C72" s="1076" t="s">
        <v>349</v>
      </c>
      <c r="D72" s="724" t="s">
        <v>226</v>
      </c>
      <c r="E72" s="725" t="s">
        <v>350</v>
      </c>
      <c r="F72" s="1139"/>
      <c r="G72" s="726">
        <v>653</v>
      </c>
      <c r="H72" s="727">
        <v>1</v>
      </c>
      <c r="I72" s="726">
        <f t="shared" ref="I72:I77" si="39">G72*H72</f>
        <v>653</v>
      </c>
      <c r="J72" s="729">
        <v>3000004</v>
      </c>
      <c r="K72" s="730"/>
      <c r="L72" s="726">
        <f t="shared" si="37"/>
        <v>653</v>
      </c>
      <c r="M72" s="728">
        <f t="shared" si="38"/>
        <v>653</v>
      </c>
      <c r="N72" s="724"/>
      <c r="O72" s="724"/>
      <c r="P72" s="724"/>
      <c r="Q72" s="730">
        <v>46283</v>
      </c>
      <c r="R72" s="730">
        <v>46313</v>
      </c>
      <c r="S72" s="725" t="s">
        <v>84</v>
      </c>
      <c r="T72" s="726"/>
      <c r="U72" s="724"/>
      <c r="V72" s="724"/>
      <c r="W72" s="1044"/>
      <c r="X72" s="1045" t="str">
        <f t="shared" si="30"/>
        <v/>
      </c>
      <c r="Y72" s="1046" t="str">
        <f t="shared" si="31"/>
        <v/>
      </c>
      <c r="Z72" s="1047">
        <f t="shared" si="32"/>
        <v>653</v>
      </c>
      <c r="AA72" s="1047" t="str">
        <f t="shared" si="33"/>
        <v/>
      </c>
      <c r="AB72" s="1047" t="str">
        <f t="shared" si="34"/>
        <v/>
      </c>
      <c r="AC72" s="1048" t="str">
        <f t="shared" si="35"/>
        <v/>
      </c>
    </row>
    <row r="73" ht="12.5" spans="1:31">
      <c r="A73" s="1049">
        <v>46262</v>
      </c>
      <c r="B73" s="724" t="s">
        <v>351</v>
      </c>
      <c r="C73" s="725" t="s">
        <v>352</v>
      </c>
      <c r="D73" s="724" t="s">
        <v>226</v>
      </c>
      <c r="E73" s="725" t="s">
        <v>353</v>
      </c>
      <c r="F73" s="726"/>
      <c r="G73" s="726">
        <v>285</v>
      </c>
      <c r="H73" s="727">
        <v>1</v>
      </c>
      <c r="I73" s="726">
        <f t="shared" si="39"/>
        <v>285</v>
      </c>
      <c r="J73" s="729">
        <v>3000012</v>
      </c>
      <c r="K73" s="730"/>
      <c r="L73" s="726">
        <f t="shared" si="37"/>
        <v>285</v>
      </c>
      <c r="M73" s="728">
        <f t="shared" si="38"/>
        <v>285</v>
      </c>
      <c r="N73" s="724"/>
      <c r="O73" s="724"/>
      <c r="P73" s="724"/>
      <c r="Q73" s="730">
        <v>46283</v>
      </c>
      <c r="R73" s="730">
        <v>46313</v>
      </c>
      <c r="S73" s="725" t="s">
        <v>84</v>
      </c>
      <c r="T73" s="726"/>
      <c r="U73" s="724"/>
      <c r="V73" s="724"/>
      <c r="W73" s="1044"/>
      <c r="X73" s="1045" t="str">
        <f t="shared" ref="X73:X101" si="40">IF(S73="Accrual",M73,"")</f>
        <v/>
      </c>
      <c r="Y73" s="1046" t="str">
        <f t="shared" ref="Y73:Y101" si="41">IF(S73="Receiving",M73,"")</f>
        <v/>
      </c>
      <c r="Z73" s="1047">
        <f t="shared" ref="Z73:Z101" si="42">IF(S73="Received",M73,"")</f>
        <v>285</v>
      </c>
      <c r="AA73" s="1047" t="str">
        <f t="shared" ref="AA73:AA101" si="43">IF(S73="Approved",M73,"")</f>
        <v/>
      </c>
      <c r="AB73" s="1047" t="str">
        <f t="shared" ref="AB73:AB101" si="44">IF(S73="Paying",M73,"")</f>
        <v/>
      </c>
      <c r="AC73" s="1048" t="str">
        <f t="shared" ref="AC73:AC101" si="45">IF(S73="Completed",M73,"")</f>
        <v/>
      </c>
    </row>
    <row r="74" ht="12.5" spans="1:31">
      <c r="A74" s="1049">
        <v>46262</v>
      </c>
      <c r="B74" s="724" t="s">
        <v>354</v>
      </c>
      <c r="C74" s="725" t="s">
        <v>355</v>
      </c>
      <c r="D74" s="724" t="s">
        <v>226</v>
      </c>
      <c r="E74" s="725" t="s">
        <v>356</v>
      </c>
      <c r="F74" s="726"/>
      <c r="G74" s="726">
        <v>6971.22</v>
      </c>
      <c r="H74" s="727">
        <v>1</v>
      </c>
      <c r="I74" s="728">
        <f t="shared" si="39"/>
        <v>6971.22</v>
      </c>
      <c r="J74" s="729">
        <v>2000011</v>
      </c>
      <c r="K74" s="730"/>
      <c r="L74" s="728">
        <f t="shared" si="37"/>
        <v>6971.22</v>
      </c>
      <c r="M74" s="728">
        <v>7438.57</v>
      </c>
      <c r="N74" s="724"/>
      <c r="O74" s="724"/>
      <c r="P74" s="724"/>
      <c r="Q74" s="730">
        <v>46283</v>
      </c>
      <c r="R74" s="730">
        <v>46313</v>
      </c>
      <c r="S74" s="725" t="s">
        <v>84</v>
      </c>
      <c r="T74" s="726"/>
      <c r="U74" s="724"/>
      <c r="V74" s="724"/>
      <c r="W74" s="1044"/>
      <c r="X74" s="1045" t="str">
        <f t="shared" si="40"/>
        <v/>
      </c>
      <c r="Y74" s="1046" t="str">
        <f t="shared" si="41"/>
        <v/>
      </c>
      <c r="Z74" s="1047">
        <f t="shared" si="42"/>
        <v>7438.57</v>
      </c>
      <c r="AA74" s="1047" t="str">
        <f t="shared" si="43"/>
        <v/>
      </c>
      <c r="AB74" s="1047" t="str">
        <f t="shared" si="44"/>
        <v/>
      </c>
      <c r="AC74" s="1048" t="str">
        <f t="shared" si="45"/>
        <v/>
      </c>
    </row>
    <row r="75" ht="12.5" spans="1:31">
      <c r="A75" s="1049">
        <v>46262</v>
      </c>
      <c r="B75" s="724" t="s">
        <v>357</v>
      </c>
      <c r="C75" s="725"/>
      <c r="D75" s="724" t="s">
        <v>329</v>
      </c>
      <c r="E75" s="725"/>
      <c r="F75" s="726"/>
      <c r="G75" s="726">
        <v>3794.85</v>
      </c>
      <c r="H75" s="727">
        <v>1</v>
      </c>
      <c r="I75" s="728">
        <f t="shared" si="39"/>
        <v>3794.85</v>
      </c>
      <c r="J75" s="729">
        <v>4000011</v>
      </c>
      <c r="K75" s="730"/>
      <c r="L75" s="728">
        <f t="shared" si="37"/>
        <v>3794.85</v>
      </c>
      <c r="M75" s="728">
        <f>L75</f>
        <v>3794.85</v>
      </c>
      <c r="N75" s="724"/>
      <c r="O75" s="724"/>
      <c r="P75" s="724"/>
      <c r="Q75" s="730"/>
      <c r="R75" s="730"/>
      <c r="S75" s="1138" t="s">
        <v>82</v>
      </c>
      <c r="T75" s="726"/>
      <c r="U75" s="724"/>
      <c r="V75" s="724"/>
      <c r="W75" s="1044"/>
      <c r="X75" s="1045">
        <f t="shared" si="40"/>
        <v>3794.85</v>
      </c>
      <c r="Y75" s="1046" t="str">
        <f t="shared" si="41"/>
        <v/>
      </c>
      <c r="Z75" s="1047" t="str">
        <f t="shared" si="42"/>
        <v/>
      </c>
      <c r="AA75" s="1047" t="str">
        <f t="shared" si="43"/>
        <v/>
      </c>
      <c r="AB75" s="1047" t="str">
        <f t="shared" si="44"/>
        <v/>
      </c>
      <c r="AC75" s="1048" t="str">
        <f t="shared" si="45"/>
        <v/>
      </c>
    </row>
    <row r="76" ht="12.5" spans="1:31">
      <c r="A76" s="1049">
        <v>46262</v>
      </c>
      <c r="B76" s="724" t="s">
        <v>358</v>
      </c>
      <c r="C76" s="725"/>
      <c r="D76" s="724" t="s">
        <v>359</v>
      </c>
      <c r="E76" s="725"/>
      <c r="F76" s="1144"/>
      <c r="G76" s="1145">
        <v>17900</v>
      </c>
      <c r="H76" s="1146">
        <v>0.149</v>
      </c>
      <c r="I76" s="728">
        <f t="shared" si="39"/>
        <v>2667.1</v>
      </c>
      <c r="J76" s="729">
        <v>4000010</v>
      </c>
      <c r="K76" s="730"/>
      <c r="L76" s="728">
        <f t="shared" si="37"/>
        <v>2667.1</v>
      </c>
      <c r="M76" s="728">
        <f>22000*0.149</f>
        <v>3278</v>
      </c>
      <c r="N76" s="724"/>
      <c r="O76" s="724"/>
      <c r="P76" s="724"/>
      <c r="Q76" s="730"/>
      <c r="R76" s="730"/>
      <c r="S76" s="1138" t="s">
        <v>82</v>
      </c>
      <c r="T76" s="726"/>
      <c r="U76" s="724"/>
      <c r="V76" s="724"/>
      <c r="W76" s="1044"/>
      <c r="X76" s="1045">
        <f t="shared" si="40"/>
        <v>3278</v>
      </c>
      <c r="Y76" s="1046" t="str">
        <f t="shared" si="41"/>
        <v/>
      </c>
      <c r="Z76" s="1047" t="str">
        <f t="shared" si="42"/>
        <v/>
      </c>
      <c r="AA76" s="1047" t="str">
        <f t="shared" si="43"/>
        <v/>
      </c>
      <c r="AB76" s="1047" t="str">
        <f t="shared" si="44"/>
        <v/>
      </c>
      <c r="AC76" s="1048" t="str">
        <f t="shared" si="45"/>
        <v/>
      </c>
    </row>
    <row r="77" s="563" customFormat="1" ht="11.5" spans="1:31">
      <c r="A77" s="1147">
        <v>46261</v>
      </c>
      <c r="B77" s="1100" t="s">
        <v>360</v>
      </c>
      <c r="C77" s="1148"/>
      <c r="D77" s="1149" t="s">
        <v>361</v>
      </c>
      <c r="E77" s="1101"/>
      <c r="F77" s="1084"/>
      <c r="G77" s="1150">
        <v>12500</v>
      </c>
      <c r="H77" s="1151">
        <v>0.148148</v>
      </c>
      <c r="I77" s="1082">
        <f t="shared" si="39"/>
        <v>1851.85</v>
      </c>
      <c r="J77" s="1152">
        <v>3000007</v>
      </c>
      <c r="K77" s="1153"/>
      <c r="L77" s="1154">
        <f t="shared" si="37"/>
        <v>1851.85</v>
      </c>
      <c r="M77" s="1154">
        <v>1851.85</v>
      </c>
      <c r="N77" s="1148"/>
      <c r="O77" s="1148"/>
      <c r="P77" s="1148"/>
      <c r="Q77" s="1155"/>
      <c r="R77" s="1153"/>
      <c r="S77" s="1101"/>
      <c r="T77" s="1156"/>
      <c r="U77" s="1157"/>
      <c r="V77" s="1157"/>
      <c r="W77" s="1158"/>
      <c r="X77" s="1069" t="str">
        <f t="shared" si="40"/>
        <v/>
      </c>
      <c r="Y77" s="1070" t="str">
        <f t="shared" si="41"/>
        <v/>
      </c>
      <c r="Z77" s="1071" t="str">
        <f t="shared" si="42"/>
        <v/>
      </c>
      <c r="AA77" s="1071" t="str">
        <f t="shared" si="43"/>
        <v/>
      </c>
      <c r="AB77" s="1071" t="str">
        <f t="shared" si="44"/>
        <v/>
      </c>
      <c r="AC77" s="1072" t="str">
        <f t="shared" si="45"/>
        <v/>
      </c>
    </row>
    <row r="78" ht="12.5" spans="1:31">
      <c r="A78" s="1049">
        <v>46259</v>
      </c>
      <c r="B78" s="724" t="s">
        <v>362</v>
      </c>
      <c r="C78" s="725"/>
      <c r="D78" s="724"/>
      <c r="E78" s="725"/>
      <c r="F78" s="726"/>
      <c r="G78" s="726"/>
      <c r="H78" s="727"/>
      <c r="I78" s="728"/>
      <c r="J78" s="729">
        <v>6000016</v>
      </c>
      <c r="K78" s="730"/>
      <c r="L78" s="728">
        <v>50</v>
      </c>
      <c r="M78" s="728"/>
      <c r="N78" s="724"/>
      <c r="O78" s="724"/>
      <c r="P78" s="724"/>
      <c r="Q78" s="730"/>
      <c r="R78" s="730"/>
      <c r="S78" s="725" t="s">
        <v>87</v>
      </c>
      <c r="T78" s="726">
        <v>50</v>
      </c>
      <c r="U78" s="724"/>
      <c r="V78" s="724"/>
      <c r="W78" s="1044"/>
      <c r="X78" s="1045" t="str">
        <f t="shared" si="40"/>
        <v/>
      </c>
      <c r="Y78" s="1046" t="str">
        <f t="shared" si="41"/>
        <v/>
      </c>
      <c r="Z78" s="1047" t="str">
        <f t="shared" si="42"/>
        <v/>
      </c>
      <c r="AA78" s="1047" t="str">
        <f t="shared" si="43"/>
        <v/>
      </c>
      <c r="AB78" s="1047" t="str">
        <f t="shared" si="44"/>
        <v/>
      </c>
      <c r="AC78" s="1048">
        <f t="shared" si="45"/>
        <v>0</v>
      </c>
    </row>
    <row r="79" s="70" customFormat="1" spans="1:31">
      <c r="A79" s="1049">
        <v>46257</v>
      </c>
      <c r="B79" s="1050" t="s">
        <v>363</v>
      </c>
      <c r="C79" s="729"/>
      <c r="D79" s="1052" t="s">
        <v>79</v>
      </c>
      <c r="E79" s="724"/>
      <c r="F79" s="728"/>
      <c r="G79" s="728">
        <v>733</v>
      </c>
      <c r="H79" s="727">
        <v>1</v>
      </c>
      <c r="I79" s="728">
        <f>G79*H79</f>
        <v>733</v>
      </c>
      <c r="J79" s="725">
        <v>1000006</v>
      </c>
      <c r="K79" s="730"/>
      <c r="L79" s="728">
        <f>I79</f>
        <v>733</v>
      </c>
      <c r="M79" s="728">
        <f>L79</f>
        <v>733</v>
      </c>
      <c r="N79" s="724"/>
      <c r="O79" s="724"/>
      <c r="P79" s="724"/>
      <c r="Q79" s="724"/>
      <c r="R79" s="724"/>
      <c r="S79" s="1134" t="s">
        <v>87</v>
      </c>
      <c r="T79" s="724"/>
      <c r="U79" s="1090"/>
      <c r="V79" s="1090"/>
      <c r="W79" s="1159"/>
      <c r="X79" s="1045" t="str">
        <f t="shared" si="40"/>
        <v/>
      </c>
      <c r="Y79" s="1046" t="str">
        <f t="shared" si="41"/>
        <v/>
      </c>
      <c r="Z79" s="1047" t="str">
        <f t="shared" si="42"/>
        <v/>
      </c>
      <c r="AA79" s="1047" t="str">
        <f t="shared" si="43"/>
        <v/>
      </c>
      <c r="AB79" s="1047" t="str">
        <f t="shared" si="44"/>
        <v/>
      </c>
      <c r="AC79" s="1048">
        <f t="shared" si="45"/>
        <v>733</v>
      </c>
    </row>
    <row r="80" s="563" customFormat="1" ht="11.5" spans="1:31">
      <c r="A80" s="1049">
        <v>46252</v>
      </c>
      <c r="B80" s="1050" t="s">
        <v>364</v>
      </c>
      <c r="C80" s="1051"/>
      <c r="D80" s="1160" t="s">
        <v>365</v>
      </c>
      <c r="E80" s="725" t="s">
        <v>366</v>
      </c>
      <c r="F80" s="728"/>
      <c r="G80" s="728">
        <v>8121.24</v>
      </c>
      <c r="H80" s="727">
        <v>1</v>
      </c>
      <c r="I80" s="728">
        <f>G80*H80</f>
        <v>8121.24</v>
      </c>
      <c r="J80" s="729">
        <v>6000016</v>
      </c>
      <c r="K80" s="730"/>
      <c r="L80" s="728">
        <f>I80</f>
        <v>8121.24</v>
      </c>
      <c r="M80" s="728">
        <f>L80</f>
        <v>8121.24</v>
      </c>
      <c r="N80" s="1132"/>
      <c r="O80" s="1132"/>
      <c r="P80" s="1132"/>
      <c r="Q80" s="1133"/>
      <c r="R80" s="1132"/>
      <c r="S80" s="1138" t="s">
        <v>87</v>
      </c>
      <c r="T80" s="726">
        <v>32.48</v>
      </c>
      <c r="U80" s="1161"/>
      <c r="V80" s="1161"/>
      <c r="W80" s="1135"/>
      <c r="X80" s="1045" t="str">
        <f t="shared" si="40"/>
        <v/>
      </c>
      <c r="Y80" s="1046" t="str">
        <f t="shared" si="41"/>
        <v/>
      </c>
      <c r="Z80" s="1047" t="str">
        <f t="shared" si="42"/>
        <v/>
      </c>
      <c r="AA80" s="1047" t="str">
        <f t="shared" si="43"/>
        <v/>
      </c>
      <c r="AB80" s="1047" t="str">
        <f t="shared" si="44"/>
        <v/>
      </c>
      <c r="AC80" s="1048">
        <f t="shared" si="45"/>
        <v>8121.24</v>
      </c>
    </row>
    <row r="81" s="563" customFormat="1" ht="12" customHeight="1" spans="1:975">
      <c r="A81" s="1049">
        <v>46251</v>
      </c>
      <c r="B81" s="724" t="s">
        <v>367</v>
      </c>
      <c r="C81" s="729"/>
      <c r="D81" s="1052" t="s">
        <v>79</v>
      </c>
      <c r="E81" s="724"/>
      <c r="F81" s="728"/>
      <c r="G81" s="728">
        <v>1125</v>
      </c>
      <c r="H81" s="727">
        <v>1</v>
      </c>
      <c r="I81" s="728">
        <f t="shared" ref="I81:I86" si="46">G81*H81</f>
        <v>1125</v>
      </c>
      <c r="J81" s="729">
        <v>9000001</v>
      </c>
      <c r="K81" s="730"/>
      <c r="L81" s="728">
        <f t="shared" ref="L81:L86" si="47">I81</f>
        <v>1125</v>
      </c>
      <c r="M81" s="728">
        <f t="shared" ref="M81:M86" si="48">L81</f>
        <v>1125</v>
      </c>
      <c r="N81" s="724"/>
      <c r="O81" s="724"/>
      <c r="P81" s="724"/>
      <c r="Q81" s="1133"/>
      <c r="R81" s="724"/>
      <c r="S81" s="1134" t="s">
        <v>87</v>
      </c>
      <c r="T81" s="726"/>
      <c r="U81" s="724"/>
      <c r="V81" s="724"/>
      <c r="W81" s="1159"/>
      <c r="X81" s="1045" t="str">
        <f t="shared" si="40"/>
        <v/>
      </c>
      <c r="Y81" s="1046" t="str">
        <f t="shared" si="41"/>
        <v/>
      </c>
      <c r="Z81" s="1047" t="str">
        <f t="shared" si="42"/>
        <v/>
      </c>
      <c r="AA81" s="1047" t="str">
        <f t="shared" si="43"/>
        <v/>
      </c>
      <c r="AB81" s="1047" t="str">
        <f t="shared" si="44"/>
        <v/>
      </c>
      <c r="AC81" s="1048">
        <f t="shared" si="45"/>
        <v>1125</v>
      </c>
    </row>
    <row r="82" s="997" customFormat="1" ht="12.5" spans="1:975">
      <c r="A82" s="1099">
        <v>46248</v>
      </c>
      <c r="B82" s="1100" t="s">
        <v>258</v>
      </c>
      <c r="C82" s="1101"/>
      <c r="D82" s="1100"/>
      <c r="E82" s="1101"/>
      <c r="F82" s="1081"/>
      <c r="G82" s="1082">
        <v>10000</v>
      </c>
      <c r="H82" s="1151">
        <v>1</v>
      </c>
      <c r="I82" s="1162">
        <f t="shared" si="46"/>
        <v>10000</v>
      </c>
      <c r="J82" s="1152">
        <v>6000016</v>
      </c>
      <c r="K82" s="1163"/>
      <c r="L82" s="1162">
        <f t="shared" si="47"/>
        <v>10000</v>
      </c>
      <c r="M82" s="1162">
        <f t="shared" si="48"/>
        <v>10000</v>
      </c>
      <c r="N82" s="1100"/>
      <c r="O82" s="1100"/>
      <c r="P82" s="1100"/>
      <c r="Q82" s="1163"/>
      <c r="R82" s="1163"/>
      <c r="S82" s="1101" t="s">
        <v>87</v>
      </c>
      <c r="T82" s="1156"/>
      <c r="U82" s="1100"/>
      <c r="V82" s="1100"/>
      <c r="W82" s="1068"/>
      <c r="X82" s="1069" t="str">
        <f t="shared" si="40"/>
        <v/>
      </c>
      <c r="Y82" s="1070" t="str">
        <f t="shared" si="41"/>
        <v/>
      </c>
      <c r="Z82" s="1071" t="str">
        <f t="shared" si="42"/>
        <v/>
      </c>
      <c r="AA82" s="1071" t="str">
        <f t="shared" si="43"/>
        <v/>
      </c>
      <c r="AB82" s="1071" t="str">
        <f t="shared" si="44"/>
        <v/>
      </c>
      <c r="AC82" s="1072">
        <f t="shared" si="45"/>
        <v>10000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="670" customFormat="1" ht="12" customHeight="1" spans="1:975">
      <c r="A83" s="1164">
        <v>46247</v>
      </c>
      <c r="B83" s="1165" t="s">
        <v>368</v>
      </c>
      <c r="C83" s="1138"/>
      <c r="D83" s="1165" t="s">
        <v>369</v>
      </c>
      <c r="E83" s="1138" t="s">
        <v>370</v>
      </c>
      <c r="F83" s="1166"/>
      <c r="G83" s="1166">
        <v>475</v>
      </c>
      <c r="H83" s="1140">
        <v>1</v>
      </c>
      <c r="I83" s="1167">
        <f t="shared" si="46"/>
        <v>475</v>
      </c>
      <c r="J83" s="1168">
        <v>3000012</v>
      </c>
      <c r="K83" s="1169"/>
      <c r="L83" s="1170">
        <f t="shared" si="47"/>
        <v>475</v>
      </c>
      <c r="M83" s="1170">
        <f t="shared" si="48"/>
        <v>475</v>
      </c>
      <c r="N83" s="1171"/>
      <c r="O83" s="1171"/>
      <c r="P83" s="1171"/>
      <c r="Q83" s="1169">
        <v>46247</v>
      </c>
      <c r="R83" s="1169">
        <v>46277</v>
      </c>
      <c r="S83" s="1138"/>
      <c r="T83" s="1166"/>
      <c r="U83" s="1171"/>
      <c r="V83" s="1171"/>
      <c r="W83" s="1172"/>
      <c r="X83" s="1045" t="str">
        <f t="shared" si="40"/>
        <v/>
      </c>
      <c r="Y83" s="1046" t="str">
        <f t="shared" si="41"/>
        <v/>
      </c>
      <c r="Z83" s="1047" t="str">
        <f t="shared" si="42"/>
        <v/>
      </c>
      <c r="AA83" s="1047" t="str">
        <f t="shared" si="43"/>
        <v/>
      </c>
      <c r="AB83" s="1047" t="str">
        <f t="shared" si="44"/>
        <v/>
      </c>
      <c r="AC83" s="1048" t="str">
        <f t="shared" si="45"/>
        <v/>
      </c>
      <c r="AD83" s="563"/>
      <c r="AE83" s="563"/>
      <c r="AF83" s="563"/>
      <c r="AG83" s="563"/>
      <c r="AH83" s="563"/>
      <c r="AI83" s="563"/>
      <c r="AJ83" s="563"/>
      <c r="AK83" s="563"/>
      <c r="AL83" s="563"/>
      <c r="AM83" s="563"/>
      <c r="AN83" s="563"/>
      <c r="AO83" s="563"/>
      <c r="AP83" s="563"/>
      <c r="AQ83" s="563"/>
      <c r="AR83" s="563"/>
      <c r="AS83" s="563"/>
      <c r="AT83" s="563"/>
      <c r="AU83" s="563"/>
      <c r="AV83" s="563"/>
      <c r="AW83" s="563"/>
      <c r="AX83" s="563"/>
      <c r="AY83" s="563"/>
      <c r="AZ83" s="563"/>
      <c r="BA83" s="563"/>
      <c r="BB83" s="563"/>
      <c r="BC83" s="563"/>
      <c r="BD83" s="563"/>
      <c r="BE83" s="563"/>
      <c r="BF83" s="563"/>
      <c r="BG83" s="563"/>
      <c r="BH83" s="563"/>
      <c r="BI83" s="563"/>
      <c r="BJ83" s="563"/>
      <c r="BK83" s="563"/>
      <c r="BL83" s="563"/>
      <c r="BM83" s="563"/>
      <c r="BN83" s="563"/>
      <c r="BO83" s="563"/>
      <c r="BP83" s="563"/>
      <c r="BQ83" s="563"/>
      <c r="BR83" s="563"/>
      <c r="BS83" s="563"/>
      <c r="BT83" s="563"/>
      <c r="BU83" s="563"/>
      <c r="BV83" s="563"/>
      <c r="BW83" s="563"/>
      <c r="BX83" s="563"/>
      <c r="BY83" s="563"/>
      <c r="BZ83" s="563"/>
      <c r="CA83" s="563"/>
      <c r="CB83" s="563"/>
      <c r="CC83" s="563"/>
      <c r="CD83" s="563"/>
      <c r="CE83" s="563"/>
      <c r="CF83" s="563"/>
      <c r="CG83" s="563"/>
      <c r="CH83" s="563"/>
      <c r="CI83" s="563"/>
      <c r="CJ83" s="563"/>
      <c r="CK83" s="563"/>
      <c r="CL83" s="563"/>
      <c r="CM83" s="563"/>
      <c r="CN83" s="563"/>
      <c r="CO83" s="563"/>
      <c r="CP83" s="563"/>
      <c r="CQ83" s="563"/>
      <c r="CR83" s="563"/>
      <c r="CS83" s="563"/>
      <c r="CT83" s="563"/>
      <c r="CU83" s="563"/>
      <c r="CV83" s="563"/>
      <c r="CW83" s="563"/>
      <c r="CX83" s="563"/>
      <c r="CY83" s="563"/>
      <c r="CZ83" s="563"/>
      <c r="DA83" s="563"/>
      <c r="DB83" s="563"/>
      <c r="DC83" s="563"/>
      <c r="DD83" s="563"/>
      <c r="DE83" s="563"/>
      <c r="DF83" s="563"/>
      <c r="DG83" s="563"/>
      <c r="DH83" s="563"/>
      <c r="DI83" s="563"/>
      <c r="DJ83" s="563"/>
      <c r="DK83" s="563"/>
      <c r="DL83" s="563"/>
      <c r="DM83" s="563"/>
      <c r="DN83" s="563"/>
      <c r="DO83" s="563"/>
      <c r="DP83" s="563"/>
      <c r="DQ83" s="563"/>
      <c r="DR83" s="563"/>
      <c r="DS83" s="563"/>
      <c r="DT83" s="563"/>
      <c r="DU83" s="563"/>
      <c r="DV83" s="563"/>
      <c r="DW83" s="563"/>
      <c r="DX83" s="563"/>
      <c r="DY83" s="563"/>
      <c r="DZ83" s="563"/>
      <c r="EA83" s="563"/>
      <c r="EB83" s="563"/>
      <c r="EC83" s="563"/>
      <c r="ED83" s="563"/>
      <c r="EE83" s="563"/>
      <c r="EF83" s="563"/>
      <c r="EG83" s="563"/>
      <c r="EH83" s="563"/>
      <c r="EI83" s="563"/>
      <c r="EJ83" s="563"/>
      <c r="EK83" s="563"/>
      <c r="EL83" s="563"/>
      <c r="EM83" s="563"/>
      <c r="EN83" s="563"/>
      <c r="EO83" s="563"/>
      <c r="EP83" s="563"/>
      <c r="EQ83" s="563"/>
      <c r="ER83" s="563"/>
      <c r="ES83" s="563"/>
      <c r="ET83" s="563"/>
      <c r="EU83" s="563"/>
      <c r="EV83" s="563"/>
      <c r="EW83" s="563"/>
      <c r="EX83" s="563"/>
      <c r="EY83" s="563"/>
      <c r="EZ83" s="563"/>
      <c r="FA83" s="563"/>
      <c r="FB83" s="563"/>
      <c r="FC83" s="563"/>
      <c r="FD83" s="563"/>
      <c r="FE83" s="563"/>
      <c r="FF83" s="563"/>
      <c r="FG83" s="563"/>
      <c r="FH83" s="563"/>
      <c r="FI83" s="563"/>
      <c r="FJ83" s="563"/>
      <c r="FK83" s="563"/>
      <c r="FL83" s="563"/>
      <c r="FM83" s="563"/>
      <c r="FN83" s="563"/>
      <c r="FO83" s="563"/>
      <c r="FP83" s="563"/>
      <c r="FQ83" s="563"/>
      <c r="FR83" s="563"/>
      <c r="FS83" s="563"/>
      <c r="FT83" s="563"/>
      <c r="FU83" s="563"/>
      <c r="FV83" s="563"/>
      <c r="FW83" s="563"/>
      <c r="FX83" s="563"/>
      <c r="FY83" s="563"/>
      <c r="FZ83" s="563"/>
      <c r="GA83" s="563"/>
      <c r="GB83" s="563"/>
      <c r="GC83" s="563"/>
      <c r="GD83" s="563"/>
      <c r="GE83" s="563"/>
      <c r="GF83" s="563"/>
      <c r="GG83" s="563"/>
      <c r="GH83" s="563"/>
      <c r="GI83" s="563"/>
      <c r="GJ83" s="563"/>
      <c r="GK83" s="563"/>
      <c r="GL83" s="563"/>
      <c r="GM83" s="563"/>
      <c r="GN83" s="563"/>
      <c r="GO83" s="563"/>
      <c r="GP83" s="563"/>
      <c r="GQ83" s="563"/>
      <c r="GR83" s="563"/>
      <c r="GS83" s="563"/>
      <c r="GT83" s="563"/>
      <c r="GU83" s="563"/>
      <c r="GV83" s="563"/>
      <c r="GW83" s="563"/>
      <c r="GX83" s="563"/>
      <c r="GY83" s="563"/>
      <c r="GZ83" s="563"/>
      <c r="HA83" s="563"/>
      <c r="HB83" s="563"/>
      <c r="HC83" s="563"/>
      <c r="HD83" s="563"/>
      <c r="HE83" s="563"/>
      <c r="HF83" s="563"/>
      <c r="HG83" s="563"/>
      <c r="HH83" s="563"/>
      <c r="HI83" s="563"/>
      <c r="HJ83" s="563"/>
      <c r="HK83" s="563"/>
      <c r="HL83" s="563"/>
      <c r="HM83" s="563"/>
      <c r="HN83" s="563"/>
      <c r="HO83" s="563"/>
      <c r="HP83" s="563"/>
      <c r="HQ83" s="563"/>
      <c r="HR83" s="563"/>
      <c r="HS83" s="563"/>
      <c r="HT83" s="563"/>
      <c r="HU83" s="563"/>
      <c r="HV83" s="563"/>
      <c r="HW83" s="563"/>
      <c r="HX83" s="563"/>
      <c r="HY83" s="563"/>
      <c r="HZ83" s="563"/>
      <c r="IA83" s="563"/>
      <c r="IB83" s="563"/>
      <c r="IC83" s="563"/>
      <c r="ID83" s="563"/>
      <c r="IE83" s="563"/>
      <c r="IF83" s="563"/>
      <c r="IG83" s="563"/>
      <c r="IH83" s="563"/>
      <c r="II83" s="563"/>
      <c r="IJ83" s="563"/>
      <c r="IK83" s="563"/>
      <c r="IL83" s="563"/>
      <c r="IM83" s="563"/>
      <c r="IN83" s="563"/>
      <c r="IO83" s="563"/>
      <c r="IP83" s="563"/>
      <c r="IQ83" s="563"/>
      <c r="IR83" s="563"/>
      <c r="IS83" s="563"/>
      <c r="IT83" s="563"/>
      <c r="IU83" s="563"/>
      <c r="IV83" s="563"/>
      <c r="IW83" s="563"/>
      <c r="IX83" s="563"/>
      <c r="IY83" s="563"/>
      <c r="IZ83" s="563"/>
      <c r="JA83" s="563"/>
      <c r="JB83" s="563"/>
      <c r="JC83" s="563"/>
      <c r="JD83" s="563"/>
      <c r="JE83" s="563"/>
      <c r="JF83" s="563"/>
      <c r="JG83" s="563"/>
      <c r="JH83" s="563"/>
      <c r="JI83" s="563"/>
      <c r="JJ83" s="563"/>
      <c r="JK83" s="563"/>
      <c r="JL83" s="563"/>
      <c r="JM83" s="563"/>
      <c r="JN83" s="563"/>
      <c r="JO83" s="563"/>
      <c r="JP83" s="563"/>
      <c r="JQ83" s="563"/>
      <c r="JR83" s="563"/>
      <c r="JS83" s="563"/>
      <c r="JT83" s="563"/>
      <c r="JU83" s="563"/>
      <c r="JV83" s="563"/>
      <c r="JW83" s="563"/>
      <c r="JX83" s="563"/>
      <c r="JY83" s="563"/>
      <c r="JZ83" s="563"/>
      <c r="KA83" s="563"/>
      <c r="KB83" s="563"/>
      <c r="KC83" s="563"/>
      <c r="KD83" s="563"/>
      <c r="KE83" s="563"/>
      <c r="KF83" s="563"/>
      <c r="KG83" s="563"/>
      <c r="KH83" s="563"/>
      <c r="KI83" s="563"/>
      <c r="KJ83" s="563"/>
      <c r="KK83" s="563"/>
      <c r="KL83" s="563"/>
      <c r="KM83" s="563"/>
      <c r="KN83" s="563"/>
      <c r="KO83" s="563"/>
      <c r="KP83" s="563"/>
      <c r="KQ83" s="563"/>
      <c r="KR83" s="563"/>
      <c r="KS83" s="563"/>
      <c r="KT83" s="563"/>
      <c r="KU83" s="563"/>
      <c r="KV83" s="563"/>
      <c r="KW83" s="563"/>
      <c r="KX83" s="563"/>
      <c r="KY83" s="563"/>
      <c r="KZ83" s="563"/>
      <c r="LA83" s="563"/>
      <c r="LB83" s="563"/>
      <c r="LC83" s="563"/>
      <c r="LD83" s="563"/>
      <c r="LE83" s="563"/>
      <c r="LF83" s="563"/>
      <c r="LG83" s="563"/>
      <c r="LH83" s="563"/>
      <c r="LI83" s="563"/>
      <c r="LJ83" s="563"/>
      <c r="LK83" s="563"/>
      <c r="LL83" s="563"/>
      <c r="LM83" s="563"/>
      <c r="LN83" s="563"/>
      <c r="LO83" s="563"/>
      <c r="LP83" s="563"/>
      <c r="LQ83" s="563"/>
      <c r="LR83" s="563"/>
      <c r="LS83" s="563"/>
      <c r="LT83" s="563"/>
      <c r="LU83" s="563"/>
      <c r="LV83" s="563"/>
      <c r="LW83" s="563"/>
      <c r="LX83" s="563"/>
      <c r="LY83" s="563"/>
      <c r="LZ83" s="563"/>
      <c r="MA83" s="563"/>
      <c r="MB83" s="563"/>
      <c r="MC83" s="563"/>
      <c r="MD83" s="563"/>
      <c r="ME83" s="563"/>
      <c r="MF83" s="563"/>
      <c r="MG83" s="563"/>
      <c r="MH83" s="563"/>
      <c r="MI83" s="563"/>
      <c r="MJ83" s="563"/>
      <c r="MK83" s="563"/>
      <c r="ML83" s="563"/>
      <c r="MM83" s="563"/>
      <c r="MN83" s="563"/>
      <c r="MO83" s="563"/>
      <c r="MP83" s="563"/>
      <c r="MQ83" s="563"/>
      <c r="MR83" s="563"/>
      <c r="MS83" s="563"/>
      <c r="MT83" s="563"/>
      <c r="MU83" s="563"/>
      <c r="MV83" s="563"/>
      <c r="MW83" s="563"/>
      <c r="MX83" s="563"/>
      <c r="MY83" s="563"/>
      <c r="MZ83" s="563"/>
      <c r="NA83" s="563"/>
      <c r="NB83" s="563"/>
      <c r="NC83" s="563"/>
      <c r="ND83" s="563"/>
      <c r="NE83" s="563"/>
      <c r="NF83" s="563"/>
      <c r="NG83" s="563"/>
      <c r="NH83" s="563"/>
      <c r="NI83" s="563"/>
      <c r="NJ83" s="563"/>
      <c r="NK83" s="563"/>
      <c r="NL83" s="563"/>
      <c r="NM83" s="563"/>
      <c r="NN83" s="563"/>
      <c r="NO83" s="563"/>
      <c r="NP83" s="563"/>
      <c r="NQ83" s="563"/>
      <c r="NR83" s="563"/>
      <c r="NS83" s="563"/>
      <c r="NT83" s="563"/>
      <c r="NU83" s="563"/>
      <c r="NV83" s="563"/>
      <c r="NW83" s="563"/>
      <c r="NX83" s="563"/>
      <c r="NY83" s="563"/>
      <c r="NZ83" s="563"/>
      <c r="OA83" s="563"/>
      <c r="OB83" s="563"/>
      <c r="OC83" s="563"/>
      <c r="OD83" s="563"/>
      <c r="OE83" s="563"/>
      <c r="OF83" s="563"/>
      <c r="OG83" s="563"/>
      <c r="OH83" s="563"/>
      <c r="OI83" s="563"/>
      <c r="OJ83" s="563"/>
      <c r="OK83" s="563"/>
      <c r="OL83" s="563"/>
      <c r="OM83" s="563"/>
      <c r="ON83" s="563"/>
      <c r="OO83" s="563"/>
      <c r="OP83" s="563"/>
      <c r="OQ83" s="563"/>
      <c r="OR83" s="563"/>
      <c r="OS83" s="563"/>
      <c r="OT83" s="563"/>
      <c r="OU83" s="563"/>
      <c r="OV83" s="563"/>
      <c r="OW83" s="563"/>
      <c r="OX83" s="563"/>
      <c r="OY83" s="563"/>
      <c r="OZ83" s="563"/>
      <c r="PA83" s="563"/>
      <c r="PB83" s="563"/>
      <c r="PC83" s="563"/>
      <c r="PD83" s="563"/>
      <c r="PE83" s="563"/>
      <c r="PF83" s="563"/>
      <c r="PG83" s="563"/>
      <c r="PH83" s="563"/>
      <c r="PI83" s="563"/>
      <c r="PJ83" s="563"/>
      <c r="PK83" s="563"/>
      <c r="PL83" s="563"/>
      <c r="PM83" s="563"/>
      <c r="PN83" s="563"/>
      <c r="PO83" s="563"/>
      <c r="PP83" s="563"/>
      <c r="PQ83" s="563"/>
      <c r="PR83" s="563"/>
      <c r="PS83" s="563"/>
      <c r="PT83" s="563"/>
      <c r="PU83" s="563"/>
      <c r="PV83" s="563"/>
      <c r="PW83" s="563"/>
      <c r="PX83" s="563"/>
      <c r="PY83" s="563"/>
      <c r="PZ83" s="563"/>
      <c r="QA83" s="563"/>
      <c r="QB83" s="563"/>
      <c r="QC83" s="563"/>
      <c r="QD83" s="563"/>
      <c r="QE83" s="563"/>
      <c r="QF83" s="563"/>
      <c r="QG83" s="563"/>
      <c r="QH83" s="563"/>
      <c r="QI83" s="563"/>
      <c r="QJ83" s="563"/>
      <c r="QK83" s="563"/>
      <c r="QL83" s="563"/>
      <c r="QM83" s="563"/>
      <c r="QN83" s="563"/>
      <c r="QO83" s="563"/>
      <c r="QP83" s="563"/>
      <c r="QQ83" s="563"/>
      <c r="QR83" s="563"/>
      <c r="QS83" s="563"/>
      <c r="QT83" s="563"/>
      <c r="QU83" s="563"/>
      <c r="QV83" s="563"/>
      <c r="QW83" s="563"/>
      <c r="QX83" s="563"/>
      <c r="QY83" s="563"/>
      <c r="QZ83" s="563"/>
      <c r="RA83" s="563"/>
      <c r="RB83" s="563"/>
      <c r="RC83" s="563"/>
      <c r="RD83" s="563"/>
      <c r="RE83" s="563"/>
      <c r="RF83" s="563"/>
      <c r="RG83" s="563"/>
      <c r="RH83" s="563"/>
      <c r="RI83" s="563"/>
      <c r="RJ83" s="563"/>
      <c r="RK83" s="563"/>
      <c r="RL83" s="563"/>
      <c r="RM83" s="563"/>
      <c r="RN83" s="563"/>
      <c r="RO83" s="563"/>
      <c r="RP83" s="563"/>
      <c r="RQ83" s="563"/>
      <c r="RR83" s="563"/>
      <c r="RS83" s="563"/>
      <c r="RT83" s="563"/>
      <c r="RU83" s="563"/>
      <c r="RV83" s="563"/>
      <c r="RW83" s="563"/>
      <c r="RX83" s="563"/>
      <c r="RY83" s="563"/>
      <c r="RZ83" s="563"/>
      <c r="SA83" s="563"/>
      <c r="SB83" s="563"/>
      <c r="SC83" s="563"/>
      <c r="SD83" s="563"/>
      <c r="SE83" s="563"/>
      <c r="SF83" s="563"/>
      <c r="SG83" s="563"/>
      <c r="SH83" s="563"/>
      <c r="SI83" s="563"/>
      <c r="SJ83" s="563"/>
      <c r="SK83" s="563"/>
      <c r="SL83" s="563"/>
      <c r="SM83" s="563"/>
      <c r="SN83" s="563"/>
      <c r="SO83" s="563"/>
      <c r="SP83" s="563"/>
      <c r="SQ83" s="563"/>
      <c r="SR83" s="563"/>
      <c r="SS83" s="563"/>
      <c r="ST83" s="563"/>
      <c r="SU83" s="563"/>
      <c r="SV83" s="563"/>
      <c r="SW83" s="563"/>
      <c r="SX83" s="563"/>
      <c r="SY83" s="563"/>
      <c r="SZ83" s="563"/>
      <c r="TA83" s="563"/>
      <c r="TB83" s="563"/>
      <c r="TC83" s="563"/>
      <c r="TD83" s="563"/>
      <c r="TE83" s="563"/>
      <c r="TF83" s="563"/>
      <c r="TG83" s="563"/>
      <c r="TH83" s="563"/>
      <c r="TI83" s="563"/>
      <c r="TJ83" s="563"/>
      <c r="TK83" s="563"/>
      <c r="TL83" s="563"/>
      <c r="TM83" s="563"/>
      <c r="TN83" s="563"/>
      <c r="TO83" s="563"/>
      <c r="TP83" s="563"/>
      <c r="TQ83" s="563"/>
      <c r="TR83" s="563"/>
      <c r="TS83" s="563"/>
      <c r="TT83" s="563"/>
      <c r="TU83" s="563"/>
      <c r="TV83" s="563"/>
      <c r="TW83" s="563"/>
      <c r="TX83" s="563"/>
      <c r="TY83" s="563"/>
      <c r="TZ83" s="563"/>
      <c r="UA83" s="563"/>
      <c r="UB83" s="563"/>
      <c r="UC83" s="563"/>
      <c r="UD83" s="563"/>
      <c r="UE83" s="563"/>
      <c r="UF83" s="563"/>
      <c r="UG83" s="563"/>
      <c r="UH83" s="563"/>
      <c r="UI83" s="563"/>
      <c r="UJ83" s="563"/>
      <c r="UK83" s="563"/>
      <c r="UL83" s="563"/>
      <c r="UM83" s="563"/>
      <c r="UN83" s="563"/>
      <c r="UO83" s="563"/>
      <c r="UP83" s="563"/>
      <c r="UQ83" s="563"/>
      <c r="UR83" s="563"/>
      <c r="US83" s="563"/>
      <c r="UT83" s="563"/>
      <c r="UU83" s="563"/>
      <c r="UV83" s="563"/>
      <c r="UW83" s="563"/>
      <c r="UX83" s="563"/>
      <c r="UY83" s="563"/>
      <c r="UZ83" s="563"/>
      <c r="VA83" s="563"/>
      <c r="VB83" s="563"/>
      <c r="VC83" s="563"/>
      <c r="VD83" s="563"/>
      <c r="VE83" s="563"/>
      <c r="VF83" s="563"/>
      <c r="VG83" s="563"/>
      <c r="VH83" s="563"/>
      <c r="VI83" s="563"/>
      <c r="VJ83" s="563"/>
      <c r="VK83" s="563"/>
      <c r="VL83" s="563"/>
      <c r="VM83" s="563"/>
      <c r="VN83" s="563"/>
      <c r="VO83" s="563"/>
      <c r="VP83" s="563"/>
      <c r="VQ83" s="563"/>
      <c r="VR83" s="563"/>
      <c r="VS83" s="563"/>
      <c r="VT83" s="563"/>
      <c r="VU83" s="563"/>
      <c r="VV83" s="563"/>
      <c r="VW83" s="563"/>
      <c r="VX83" s="563"/>
      <c r="VY83" s="563"/>
      <c r="VZ83" s="563"/>
      <c r="WA83" s="563"/>
      <c r="WB83" s="563"/>
      <c r="WC83" s="563"/>
      <c r="WD83" s="563"/>
      <c r="WE83" s="563"/>
      <c r="WF83" s="563"/>
      <c r="WG83" s="563"/>
      <c r="WH83" s="563"/>
      <c r="WI83" s="563"/>
      <c r="WJ83" s="563"/>
      <c r="WK83" s="563"/>
      <c r="WL83" s="563"/>
      <c r="WM83" s="563"/>
      <c r="WN83" s="563"/>
      <c r="WO83" s="563"/>
      <c r="WP83" s="563"/>
      <c r="WQ83" s="563"/>
      <c r="WR83" s="563"/>
      <c r="WS83" s="563"/>
      <c r="WT83" s="563"/>
      <c r="WU83" s="563"/>
      <c r="WV83" s="563"/>
      <c r="WW83" s="563"/>
      <c r="WX83" s="563"/>
      <c r="WY83" s="563"/>
      <c r="WZ83" s="563"/>
      <c r="XA83" s="563"/>
      <c r="XB83" s="563"/>
      <c r="XC83" s="563"/>
      <c r="XD83" s="563"/>
      <c r="XE83" s="563"/>
      <c r="XF83" s="563"/>
      <c r="XG83" s="563"/>
      <c r="XH83" s="563"/>
      <c r="XI83" s="563"/>
      <c r="XJ83" s="563"/>
      <c r="XK83" s="563"/>
      <c r="XL83" s="563"/>
      <c r="XM83" s="563"/>
      <c r="XN83" s="563"/>
      <c r="XO83" s="563"/>
      <c r="XP83" s="563"/>
      <c r="XQ83" s="563"/>
      <c r="XR83" s="563"/>
      <c r="XS83" s="563"/>
      <c r="XT83" s="563"/>
      <c r="XU83" s="563"/>
      <c r="XV83" s="563"/>
      <c r="XW83" s="563"/>
      <c r="XX83" s="563"/>
      <c r="XY83" s="563"/>
      <c r="XZ83" s="563"/>
      <c r="YA83" s="563"/>
      <c r="YB83" s="563"/>
      <c r="YC83" s="563"/>
      <c r="YD83" s="563"/>
      <c r="YE83" s="563"/>
      <c r="YF83" s="563"/>
      <c r="YG83" s="563"/>
      <c r="YH83" s="563"/>
      <c r="YI83" s="563"/>
      <c r="YJ83" s="563"/>
      <c r="YK83" s="563"/>
      <c r="YL83" s="563"/>
      <c r="YM83" s="563"/>
      <c r="YN83" s="563"/>
      <c r="YO83" s="563"/>
      <c r="YP83" s="563"/>
      <c r="YQ83" s="563"/>
      <c r="YR83" s="563"/>
      <c r="YS83" s="563"/>
      <c r="YT83" s="563"/>
      <c r="YU83" s="563"/>
      <c r="YV83" s="563"/>
      <c r="YW83" s="563"/>
      <c r="YX83" s="563"/>
      <c r="YY83" s="563"/>
      <c r="YZ83" s="563"/>
      <c r="ZA83" s="563"/>
      <c r="ZB83" s="563"/>
      <c r="ZC83" s="563"/>
      <c r="ZD83" s="563"/>
      <c r="ZE83" s="563"/>
      <c r="ZF83" s="563"/>
      <c r="ZG83" s="563"/>
      <c r="ZH83" s="563"/>
      <c r="ZI83" s="563"/>
      <c r="ZJ83" s="563"/>
      <c r="ZK83" s="563"/>
      <c r="ZL83" s="563"/>
      <c r="ZM83" s="563"/>
      <c r="ZN83" s="563"/>
      <c r="ZO83" s="563"/>
      <c r="ZP83" s="563"/>
      <c r="ZQ83" s="563"/>
      <c r="ZR83" s="563"/>
      <c r="ZS83" s="563"/>
      <c r="ZT83" s="563"/>
      <c r="ZU83" s="563"/>
      <c r="ZV83" s="563"/>
      <c r="ZW83" s="563"/>
      <c r="ZX83" s="563"/>
      <c r="ZY83" s="563"/>
      <c r="ZZ83" s="563"/>
      <c r="AAA83" s="563"/>
      <c r="AAB83" s="563"/>
      <c r="AAC83" s="563"/>
      <c r="AAD83" s="563"/>
      <c r="AAE83" s="563"/>
      <c r="AAF83" s="563"/>
      <c r="AAG83" s="563"/>
      <c r="AAH83" s="563"/>
      <c r="AAI83" s="563"/>
      <c r="AAJ83" s="563"/>
      <c r="AAK83" s="563"/>
      <c r="AAL83" s="563"/>
      <c r="AAM83" s="563"/>
      <c r="AAN83" s="563"/>
      <c r="AAO83" s="563"/>
      <c r="AAP83" s="563"/>
      <c r="AAQ83" s="563"/>
      <c r="AAR83" s="563"/>
      <c r="AAS83" s="563"/>
      <c r="AAT83" s="563"/>
      <c r="AAU83" s="563"/>
      <c r="AAV83" s="563"/>
      <c r="AAW83" s="563"/>
      <c r="AAX83" s="563"/>
      <c r="AAY83" s="563"/>
      <c r="AAZ83" s="563"/>
      <c r="ABA83" s="563"/>
      <c r="ABB83" s="563"/>
      <c r="ABC83" s="563"/>
      <c r="ABD83" s="563"/>
      <c r="ABE83" s="563"/>
      <c r="ABF83" s="563"/>
      <c r="ABG83" s="563"/>
      <c r="ABH83" s="563"/>
      <c r="ABI83" s="563"/>
      <c r="ABJ83" s="563"/>
      <c r="ABK83" s="563"/>
      <c r="ABL83" s="563"/>
      <c r="ABM83" s="563"/>
      <c r="ABN83" s="563"/>
      <c r="ABO83" s="563"/>
      <c r="ABP83" s="563"/>
      <c r="ABQ83" s="563"/>
      <c r="ABR83" s="563"/>
      <c r="ABS83" s="563"/>
      <c r="ABT83" s="563"/>
      <c r="ABU83" s="563"/>
      <c r="ABV83" s="563"/>
      <c r="ABW83" s="563"/>
      <c r="ABX83" s="563"/>
      <c r="ABY83" s="563"/>
      <c r="ABZ83" s="563"/>
      <c r="ACA83" s="563"/>
      <c r="ACB83" s="563"/>
      <c r="ACC83" s="563"/>
      <c r="ACD83" s="563"/>
      <c r="ACE83" s="563"/>
      <c r="ACF83" s="563"/>
      <c r="ACG83" s="563"/>
      <c r="ACH83" s="563"/>
      <c r="ACI83" s="563"/>
      <c r="ACJ83" s="563"/>
      <c r="ACK83" s="563"/>
      <c r="ACL83" s="563"/>
      <c r="ACM83" s="563"/>
      <c r="ACN83" s="563"/>
      <c r="ACO83" s="563"/>
      <c r="ACP83" s="563"/>
      <c r="ACQ83" s="563"/>
      <c r="ACR83" s="563"/>
      <c r="ACS83" s="563"/>
      <c r="ACT83" s="563"/>
      <c r="ACU83" s="563"/>
      <c r="ACV83" s="563"/>
      <c r="ACW83" s="563"/>
      <c r="ACX83" s="563"/>
      <c r="ACY83" s="563"/>
      <c r="ACZ83" s="563"/>
      <c r="ADA83" s="563"/>
      <c r="ADB83" s="563"/>
      <c r="ADC83" s="563"/>
      <c r="ADD83" s="563"/>
      <c r="ADE83" s="563"/>
      <c r="ADF83" s="563"/>
      <c r="ADG83" s="563"/>
      <c r="ADH83" s="563"/>
      <c r="ADI83" s="563"/>
      <c r="ADJ83" s="563"/>
      <c r="ADK83" s="563"/>
      <c r="ADL83" s="563"/>
      <c r="ADM83" s="563"/>
      <c r="ADN83" s="563"/>
      <c r="ADO83" s="563"/>
      <c r="ADP83" s="563"/>
      <c r="ADQ83" s="563"/>
      <c r="ADR83" s="563"/>
      <c r="ADS83" s="563"/>
      <c r="ADT83" s="563"/>
      <c r="ADU83" s="563"/>
      <c r="ADV83" s="563"/>
      <c r="ADW83" s="563"/>
      <c r="ADX83" s="563"/>
      <c r="ADY83" s="563"/>
      <c r="ADZ83" s="563"/>
      <c r="AEA83" s="563"/>
      <c r="AEB83" s="563"/>
      <c r="AEC83" s="563"/>
      <c r="AED83" s="563"/>
      <c r="AEE83" s="563"/>
      <c r="AEF83" s="563"/>
      <c r="AEG83" s="563"/>
      <c r="AEH83" s="563"/>
      <c r="AEI83" s="563"/>
      <c r="AEJ83" s="563"/>
      <c r="AEK83" s="563"/>
      <c r="AEL83" s="563"/>
      <c r="AEM83" s="563"/>
      <c r="AEN83" s="563"/>
      <c r="AEO83" s="563"/>
      <c r="AEP83" s="563"/>
      <c r="AEQ83" s="563"/>
      <c r="AER83" s="563"/>
      <c r="AES83" s="563"/>
      <c r="AET83" s="563"/>
      <c r="AEU83" s="563"/>
      <c r="AEV83" s="563"/>
      <c r="AEW83" s="563"/>
      <c r="AEX83" s="563"/>
      <c r="AEY83" s="563"/>
      <c r="AEZ83" s="563"/>
      <c r="AFA83" s="563"/>
      <c r="AFB83" s="563"/>
      <c r="AFC83" s="563"/>
      <c r="AFD83" s="563"/>
      <c r="AFE83" s="563"/>
      <c r="AFF83" s="563"/>
      <c r="AFG83" s="563"/>
      <c r="AFH83" s="563"/>
      <c r="AFI83" s="563"/>
      <c r="AFJ83" s="563"/>
      <c r="AFK83" s="563"/>
      <c r="AFL83" s="563"/>
      <c r="AFM83" s="563"/>
      <c r="AFN83" s="563"/>
      <c r="AFO83" s="563"/>
      <c r="AFP83" s="563"/>
      <c r="AFQ83" s="563"/>
      <c r="AFR83" s="563"/>
      <c r="AFS83" s="563"/>
      <c r="AFT83" s="563"/>
      <c r="AFU83" s="563"/>
      <c r="AFV83" s="563"/>
      <c r="AFW83" s="563"/>
      <c r="AFX83" s="563"/>
      <c r="AFY83" s="563"/>
      <c r="AFZ83" s="563"/>
      <c r="AGA83" s="563"/>
      <c r="AGB83" s="563"/>
      <c r="AGC83" s="563"/>
      <c r="AGD83" s="563"/>
      <c r="AGE83" s="563"/>
      <c r="AGF83" s="563"/>
      <c r="AGG83" s="563"/>
      <c r="AGH83" s="563"/>
      <c r="AGI83" s="563"/>
      <c r="AGJ83" s="563"/>
      <c r="AGK83" s="563"/>
      <c r="AGL83" s="563"/>
      <c r="AGM83" s="563"/>
      <c r="AGN83" s="563"/>
      <c r="AGO83" s="563"/>
      <c r="AGP83" s="563"/>
      <c r="AGQ83" s="563"/>
      <c r="AGR83" s="563"/>
      <c r="AGS83" s="563"/>
      <c r="AGT83" s="563"/>
      <c r="AGU83" s="563"/>
      <c r="AGV83" s="563"/>
      <c r="AGW83" s="563"/>
      <c r="AGX83" s="563"/>
      <c r="AGY83" s="563"/>
      <c r="AGZ83" s="563"/>
      <c r="AHA83" s="563"/>
      <c r="AHB83" s="563"/>
      <c r="AHC83" s="563"/>
      <c r="AHD83" s="563"/>
      <c r="AHE83" s="563"/>
      <c r="AHF83" s="563"/>
      <c r="AHG83" s="563"/>
      <c r="AHH83" s="563"/>
      <c r="AHI83" s="563"/>
      <c r="AHJ83" s="563"/>
      <c r="AHK83" s="563"/>
      <c r="AHL83" s="563"/>
      <c r="AHM83" s="563"/>
      <c r="AHN83" s="563"/>
      <c r="AHO83" s="563"/>
      <c r="AHP83" s="563"/>
      <c r="AHQ83" s="563"/>
      <c r="AHR83" s="563"/>
      <c r="AHS83" s="563"/>
      <c r="AHT83" s="563"/>
      <c r="AHU83" s="563"/>
      <c r="AHV83" s="563"/>
      <c r="AHW83" s="563"/>
      <c r="AHX83" s="563"/>
      <c r="AHY83" s="563"/>
      <c r="AHZ83" s="563"/>
      <c r="AIA83" s="563"/>
      <c r="AIB83" s="563"/>
      <c r="AIC83" s="563"/>
      <c r="AID83" s="563"/>
      <c r="AIE83" s="563"/>
      <c r="AIF83" s="563"/>
      <c r="AIG83" s="563"/>
      <c r="AIH83" s="563"/>
      <c r="AII83" s="563"/>
      <c r="AIJ83" s="563"/>
      <c r="AIK83" s="563"/>
      <c r="AIL83" s="563"/>
      <c r="AIM83" s="563"/>
      <c r="AIN83" s="563"/>
      <c r="AIO83" s="563"/>
      <c r="AIP83" s="563"/>
      <c r="AIQ83" s="563"/>
      <c r="AIR83" s="563"/>
      <c r="AIS83" s="563"/>
      <c r="AIT83" s="563"/>
      <c r="AIU83" s="563"/>
      <c r="AIV83" s="563"/>
      <c r="AIW83" s="563"/>
      <c r="AIX83" s="563"/>
      <c r="AIY83" s="563"/>
      <c r="AIZ83" s="563"/>
      <c r="AJA83" s="563"/>
      <c r="AJB83" s="563"/>
      <c r="AJC83" s="563"/>
      <c r="AJD83" s="563"/>
      <c r="AJE83" s="563"/>
      <c r="AJF83" s="563"/>
      <c r="AJG83" s="563"/>
      <c r="AJH83" s="563"/>
      <c r="AJI83" s="563"/>
      <c r="AJJ83" s="563"/>
      <c r="AJK83" s="563"/>
      <c r="AJL83" s="563"/>
      <c r="AJM83" s="563"/>
      <c r="AJN83" s="563"/>
      <c r="AJO83" s="563"/>
      <c r="AJP83" s="563"/>
      <c r="AJQ83" s="563"/>
      <c r="AJR83" s="563"/>
      <c r="AJS83" s="563"/>
      <c r="AJT83" s="563"/>
      <c r="AJU83" s="563"/>
      <c r="AJV83" s="563"/>
      <c r="AJW83" s="563"/>
      <c r="AJX83" s="563"/>
      <c r="AJY83" s="563"/>
      <c r="AJZ83" s="563"/>
      <c r="AKA83" s="563"/>
      <c r="AKB83" s="563"/>
      <c r="AKC83" s="563"/>
      <c r="AKD83" s="563"/>
      <c r="AKE83" s="563"/>
      <c r="AKF83" s="563"/>
      <c r="AKG83" s="563"/>
      <c r="AKH83" s="563"/>
      <c r="AKI83" s="563"/>
      <c r="AKJ83" s="563"/>
      <c r="AKK83" s="563"/>
      <c r="AKL83" s="563"/>
      <c r="AKM83" s="563"/>
    </row>
    <row r="84" s="670" customFormat="1" ht="11.5" spans="1:975">
      <c r="A84" s="1173">
        <v>46247</v>
      </c>
      <c r="B84" s="1165" t="s">
        <v>371</v>
      </c>
      <c r="C84" s="1138"/>
      <c r="D84" s="1165" t="s">
        <v>372</v>
      </c>
      <c r="E84" s="1138"/>
      <c r="F84" s="1166"/>
      <c r="G84" s="1166">
        <v>185.76</v>
      </c>
      <c r="H84" s="1140">
        <v>1</v>
      </c>
      <c r="I84" s="1167">
        <f t="shared" si="46"/>
        <v>185.76</v>
      </c>
      <c r="J84" s="1168">
        <v>2000007</v>
      </c>
      <c r="K84" s="1169"/>
      <c r="L84" s="1170">
        <f t="shared" si="47"/>
        <v>185.76</v>
      </c>
      <c r="M84" s="1170">
        <f t="shared" si="48"/>
        <v>185.76</v>
      </c>
      <c r="N84" s="1174"/>
      <c r="O84" s="1174"/>
      <c r="P84" s="1174"/>
      <c r="Q84" s="1169">
        <v>46247</v>
      </c>
      <c r="R84" s="1169">
        <v>46277</v>
      </c>
      <c r="S84" s="725" t="s">
        <v>84</v>
      </c>
      <c r="T84" s="1166"/>
      <c r="U84" s="1175"/>
      <c r="V84" s="1175"/>
      <c r="W84" s="1176"/>
      <c r="X84" s="1045" t="str">
        <f t="shared" si="40"/>
        <v/>
      </c>
      <c r="Y84" s="1046" t="str">
        <f t="shared" si="41"/>
        <v/>
      </c>
      <c r="Z84" s="1047">
        <f t="shared" si="42"/>
        <v>185.76</v>
      </c>
      <c r="AA84" s="1047" t="str">
        <f t="shared" si="43"/>
        <v/>
      </c>
      <c r="AB84" s="1047" t="str">
        <f t="shared" si="44"/>
        <v/>
      </c>
      <c r="AC84" s="1048" t="str">
        <f t="shared" si="45"/>
        <v/>
      </c>
      <c r="AD84" s="563"/>
      <c r="AE84" s="563"/>
      <c r="AF84" s="563"/>
      <c r="AG84" s="563"/>
      <c r="AH84" s="563"/>
      <c r="AI84" s="563"/>
      <c r="AJ84" s="563"/>
      <c r="AK84" s="563"/>
      <c r="AL84" s="563"/>
      <c r="AM84" s="563"/>
      <c r="AN84" s="563"/>
      <c r="AO84" s="563"/>
      <c r="AP84" s="563"/>
      <c r="AQ84" s="563"/>
      <c r="AR84" s="563"/>
      <c r="AS84" s="563"/>
      <c r="AT84" s="563"/>
      <c r="AU84" s="563"/>
      <c r="AV84" s="563"/>
      <c r="AW84" s="563"/>
      <c r="AX84" s="563"/>
      <c r="AY84" s="563"/>
      <c r="AZ84" s="563"/>
      <c r="BA84" s="563"/>
      <c r="BB84" s="563"/>
      <c r="BC84" s="563"/>
      <c r="BD84" s="563"/>
      <c r="BE84" s="563"/>
      <c r="BF84" s="563"/>
      <c r="BG84" s="563"/>
      <c r="BH84" s="563"/>
      <c r="BI84" s="563"/>
      <c r="BJ84" s="563"/>
      <c r="BK84" s="563"/>
      <c r="BL84" s="563"/>
      <c r="BM84" s="563"/>
      <c r="BN84" s="563"/>
      <c r="BO84" s="563"/>
      <c r="BP84" s="563"/>
      <c r="BQ84" s="563"/>
      <c r="BR84" s="563"/>
      <c r="BS84" s="563"/>
      <c r="BT84" s="563"/>
      <c r="BU84" s="563"/>
      <c r="BV84" s="563"/>
      <c r="BW84" s="563"/>
      <c r="BX84" s="563"/>
      <c r="BY84" s="563"/>
      <c r="BZ84" s="563"/>
      <c r="CA84" s="563"/>
      <c r="CB84" s="563"/>
      <c r="CC84" s="563"/>
      <c r="CD84" s="563"/>
      <c r="CE84" s="563"/>
      <c r="CF84" s="563"/>
      <c r="CG84" s="563"/>
      <c r="CH84" s="563"/>
      <c r="CI84" s="563"/>
      <c r="CJ84" s="563"/>
      <c r="CK84" s="563"/>
      <c r="CL84" s="563"/>
      <c r="CM84" s="563"/>
      <c r="CN84" s="563"/>
      <c r="CO84" s="563"/>
      <c r="CP84" s="563"/>
      <c r="CQ84" s="563"/>
      <c r="CR84" s="563"/>
      <c r="CS84" s="563"/>
      <c r="CT84" s="563"/>
      <c r="CU84" s="563"/>
      <c r="CV84" s="563"/>
      <c r="CW84" s="563"/>
      <c r="CX84" s="563"/>
      <c r="CY84" s="563"/>
      <c r="CZ84" s="563"/>
      <c r="DA84" s="563"/>
      <c r="DB84" s="563"/>
      <c r="DC84" s="563"/>
      <c r="DD84" s="563"/>
      <c r="DE84" s="563"/>
      <c r="DF84" s="563"/>
      <c r="DG84" s="563"/>
      <c r="DH84" s="563"/>
      <c r="DI84" s="563"/>
      <c r="DJ84" s="563"/>
      <c r="DK84" s="563"/>
      <c r="DL84" s="563"/>
      <c r="DM84" s="563"/>
      <c r="DN84" s="563"/>
      <c r="DO84" s="563"/>
      <c r="DP84" s="563"/>
      <c r="DQ84" s="563"/>
      <c r="DR84" s="563"/>
      <c r="DS84" s="563"/>
      <c r="DT84" s="563"/>
      <c r="DU84" s="563"/>
      <c r="DV84" s="563"/>
      <c r="DW84" s="563"/>
      <c r="DX84" s="563"/>
      <c r="DY84" s="563"/>
      <c r="DZ84" s="563"/>
      <c r="EA84" s="563"/>
      <c r="EB84" s="563"/>
      <c r="EC84" s="563"/>
      <c r="ED84" s="563"/>
      <c r="EE84" s="563"/>
      <c r="EF84" s="563"/>
      <c r="EG84" s="563"/>
      <c r="EH84" s="563"/>
      <c r="EI84" s="563"/>
      <c r="EJ84" s="563"/>
      <c r="EK84" s="563"/>
      <c r="EL84" s="563"/>
      <c r="EM84" s="563"/>
      <c r="EN84" s="563"/>
      <c r="EO84" s="563"/>
      <c r="EP84" s="563"/>
      <c r="EQ84" s="563"/>
      <c r="ER84" s="563"/>
      <c r="ES84" s="563"/>
      <c r="ET84" s="563"/>
      <c r="EU84" s="563"/>
      <c r="EV84" s="563"/>
      <c r="EW84" s="563"/>
      <c r="EX84" s="563"/>
      <c r="EY84" s="563"/>
      <c r="EZ84" s="563"/>
      <c r="FA84" s="563"/>
      <c r="FB84" s="563"/>
      <c r="FC84" s="563"/>
      <c r="FD84" s="563"/>
      <c r="FE84" s="563"/>
      <c r="FF84" s="563"/>
      <c r="FG84" s="563"/>
      <c r="FH84" s="563"/>
      <c r="FI84" s="563"/>
      <c r="FJ84" s="563"/>
      <c r="FK84" s="563"/>
      <c r="FL84" s="563"/>
      <c r="FM84" s="563"/>
      <c r="FN84" s="563"/>
      <c r="FO84" s="563"/>
      <c r="FP84" s="563"/>
      <c r="FQ84" s="563"/>
      <c r="FR84" s="563"/>
      <c r="FS84" s="563"/>
      <c r="FT84" s="563"/>
      <c r="FU84" s="563"/>
      <c r="FV84" s="563"/>
      <c r="FW84" s="563"/>
      <c r="FX84" s="563"/>
      <c r="FY84" s="563"/>
      <c r="FZ84" s="563"/>
      <c r="GA84" s="563"/>
      <c r="GB84" s="563"/>
      <c r="GC84" s="563"/>
      <c r="GD84" s="563"/>
      <c r="GE84" s="563"/>
      <c r="GF84" s="563"/>
      <c r="GG84" s="563"/>
      <c r="GH84" s="563"/>
      <c r="GI84" s="563"/>
      <c r="GJ84" s="563"/>
      <c r="GK84" s="563"/>
      <c r="GL84" s="563"/>
      <c r="GM84" s="563"/>
      <c r="GN84" s="563"/>
      <c r="GO84" s="563"/>
      <c r="GP84" s="563"/>
      <c r="GQ84" s="563"/>
      <c r="GR84" s="563"/>
      <c r="GS84" s="563"/>
      <c r="GT84" s="563"/>
      <c r="GU84" s="563"/>
      <c r="GV84" s="563"/>
      <c r="GW84" s="563"/>
      <c r="GX84" s="563"/>
      <c r="GY84" s="563"/>
      <c r="GZ84" s="563"/>
      <c r="HA84" s="563"/>
      <c r="HB84" s="563"/>
      <c r="HC84" s="563"/>
      <c r="HD84" s="563"/>
      <c r="HE84" s="563"/>
      <c r="HF84" s="563"/>
      <c r="HG84" s="563"/>
      <c r="HH84" s="563"/>
      <c r="HI84" s="563"/>
      <c r="HJ84" s="563"/>
      <c r="HK84" s="563"/>
      <c r="HL84" s="563"/>
      <c r="HM84" s="563"/>
      <c r="HN84" s="563"/>
      <c r="HO84" s="563"/>
      <c r="HP84" s="563"/>
      <c r="HQ84" s="563"/>
      <c r="HR84" s="563"/>
      <c r="HS84" s="563"/>
      <c r="HT84" s="563"/>
      <c r="HU84" s="563"/>
      <c r="HV84" s="563"/>
      <c r="HW84" s="563"/>
      <c r="HX84" s="563"/>
      <c r="HY84" s="563"/>
      <c r="HZ84" s="563"/>
      <c r="IA84" s="563"/>
      <c r="IB84" s="563"/>
      <c r="IC84" s="563"/>
      <c r="ID84" s="563"/>
      <c r="IE84" s="563"/>
      <c r="IF84" s="563"/>
      <c r="IG84" s="563"/>
      <c r="IH84" s="563"/>
      <c r="II84" s="563"/>
      <c r="IJ84" s="563"/>
      <c r="IK84" s="563"/>
      <c r="IL84" s="563"/>
      <c r="IM84" s="563"/>
      <c r="IN84" s="563"/>
      <c r="IO84" s="563"/>
      <c r="IP84" s="563"/>
      <c r="IQ84" s="563"/>
      <c r="IR84" s="563"/>
      <c r="IS84" s="563"/>
      <c r="IT84" s="563"/>
      <c r="IU84" s="563"/>
      <c r="IV84" s="563"/>
      <c r="IW84" s="563"/>
      <c r="IX84" s="563"/>
      <c r="IY84" s="563"/>
      <c r="IZ84" s="563"/>
      <c r="JA84" s="563"/>
      <c r="JB84" s="563"/>
      <c r="JC84" s="563"/>
      <c r="JD84" s="563"/>
      <c r="JE84" s="563"/>
      <c r="JF84" s="563"/>
      <c r="JG84" s="563"/>
      <c r="JH84" s="563"/>
      <c r="JI84" s="563"/>
      <c r="JJ84" s="563"/>
      <c r="JK84" s="563"/>
      <c r="JL84" s="563"/>
      <c r="JM84" s="563"/>
      <c r="JN84" s="563"/>
      <c r="JO84" s="563"/>
      <c r="JP84" s="563"/>
      <c r="JQ84" s="563"/>
      <c r="JR84" s="563"/>
      <c r="JS84" s="563"/>
      <c r="JT84" s="563"/>
      <c r="JU84" s="563"/>
      <c r="JV84" s="563"/>
      <c r="JW84" s="563"/>
      <c r="JX84" s="563"/>
      <c r="JY84" s="563"/>
      <c r="JZ84" s="563"/>
      <c r="KA84" s="563"/>
      <c r="KB84" s="563"/>
      <c r="KC84" s="563"/>
      <c r="KD84" s="563"/>
      <c r="KE84" s="563"/>
      <c r="KF84" s="563"/>
      <c r="KG84" s="563"/>
      <c r="KH84" s="563"/>
      <c r="KI84" s="563"/>
      <c r="KJ84" s="563"/>
      <c r="KK84" s="563"/>
      <c r="KL84" s="563"/>
      <c r="KM84" s="563"/>
      <c r="KN84" s="563"/>
      <c r="KO84" s="563"/>
      <c r="KP84" s="563"/>
      <c r="KQ84" s="563"/>
      <c r="KR84" s="563"/>
      <c r="KS84" s="563"/>
      <c r="KT84" s="563"/>
      <c r="KU84" s="563"/>
      <c r="KV84" s="563"/>
      <c r="KW84" s="563"/>
      <c r="KX84" s="563"/>
      <c r="KY84" s="563"/>
      <c r="KZ84" s="563"/>
      <c r="LA84" s="563"/>
      <c r="LB84" s="563"/>
      <c r="LC84" s="563"/>
      <c r="LD84" s="563"/>
      <c r="LE84" s="563"/>
      <c r="LF84" s="563"/>
      <c r="LG84" s="563"/>
      <c r="LH84" s="563"/>
      <c r="LI84" s="563"/>
      <c r="LJ84" s="563"/>
      <c r="LK84" s="563"/>
      <c r="LL84" s="563"/>
      <c r="LM84" s="563"/>
      <c r="LN84" s="563"/>
      <c r="LO84" s="563"/>
      <c r="LP84" s="563"/>
      <c r="LQ84" s="563"/>
      <c r="LR84" s="563"/>
      <c r="LS84" s="563"/>
      <c r="LT84" s="563"/>
      <c r="LU84" s="563"/>
      <c r="LV84" s="563"/>
      <c r="LW84" s="563"/>
      <c r="LX84" s="563"/>
      <c r="LY84" s="563"/>
      <c r="LZ84" s="563"/>
      <c r="MA84" s="563"/>
      <c r="MB84" s="563"/>
      <c r="MC84" s="563"/>
      <c r="MD84" s="563"/>
      <c r="ME84" s="563"/>
      <c r="MF84" s="563"/>
      <c r="MG84" s="563"/>
      <c r="MH84" s="563"/>
      <c r="MI84" s="563"/>
      <c r="MJ84" s="563"/>
      <c r="MK84" s="563"/>
      <c r="ML84" s="563"/>
      <c r="MM84" s="563"/>
      <c r="MN84" s="563"/>
      <c r="MO84" s="563"/>
      <c r="MP84" s="563"/>
      <c r="MQ84" s="563"/>
      <c r="MR84" s="563"/>
      <c r="MS84" s="563"/>
      <c r="MT84" s="563"/>
      <c r="MU84" s="563"/>
      <c r="MV84" s="563"/>
      <c r="MW84" s="563"/>
      <c r="MX84" s="563"/>
      <c r="MY84" s="563"/>
      <c r="MZ84" s="563"/>
      <c r="NA84" s="563"/>
      <c r="NB84" s="563"/>
      <c r="NC84" s="563"/>
      <c r="ND84" s="563"/>
      <c r="NE84" s="563"/>
      <c r="NF84" s="563"/>
      <c r="NG84" s="563"/>
      <c r="NH84" s="563"/>
      <c r="NI84" s="563"/>
      <c r="NJ84" s="563"/>
      <c r="NK84" s="563"/>
      <c r="NL84" s="563"/>
      <c r="NM84" s="563"/>
      <c r="NN84" s="563"/>
      <c r="NO84" s="563"/>
      <c r="NP84" s="563"/>
      <c r="NQ84" s="563"/>
      <c r="NR84" s="563"/>
      <c r="NS84" s="563"/>
      <c r="NT84" s="563"/>
      <c r="NU84" s="563"/>
      <c r="NV84" s="563"/>
      <c r="NW84" s="563"/>
      <c r="NX84" s="563"/>
      <c r="NY84" s="563"/>
      <c r="NZ84" s="563"/>
      <c r="OA84" s="563"/>
      <c r="OB84" s="563"/>
      <c r="OC84" s="563"/>
      <c r="OD84" s="563"/>
      <c r="OE84" s="563"/>
      <c r="OF84" s="563"/>
      <c r="OG84" s="563"/>
      <c r="OH84" s="563"/>
      <c r="OI84" s="563"/>
      <c r="OJ84" s="563"/>
      <c r="OK84" s="563"/>
      <c r="OL84" s="563"/>
      <c r="OM84" s="563"/>
      <c r="ON84" s="563"/>
      <c r="OO84" s="563"/>
      <c r="OP84" s="563"/>
      <c r="OQ84" s="563"/>
      <c r="OR84" s="563"/>
      <c r="OS84" s="563"/>
      <c r="OT84" s="563"/>
      <c r="OU84" s="563"/>
      <c r="OV84" s="563"/>
      <c r="OW84" s="563"/>
      <c r="OX84" s="563"/>
      <c r="OY84" s="563"/>
      <c r="OZ84" s="563"/>
      <c r="PA84" s="563"/>
      <c r="PB84" s="563"/>
      <c r="PC84" s="563"/>
      <c r="PD84" s="563"/>
      <c r="PE84" s="563"/>
      <c r="PF84" s="563"/>
      <c r="PG84" s="563"/>
      <c r="PH84" s="563"/>
      <c r="PI84" s="563"/>
      <c r="PJ84" s="563"/>
      <c r="PK84" s="563"/>
      <c r="PL84" s="563"/>
      <c r="PM84" s="563"/>
      <c r="PN84" s="563"/>
      <c r="PO84" s="563"/>
      <c r="PP84" s="563"/>
      <c r="PQ84" s="563"/>
      <c r="PR84" s="563"/>
      <c r="PS84" s="563"/>
      <c r="PT84" s="563"/>
      <c r="PU84" s="563"/>
      <c r="PV84" s="563"/>
      <c r="PW84" s="563"/>
      <c r="PX84" s="563"/>
      <c r="PY84" s="563"/>
      <c r="PZ84" s="563"/>
      <c r="QA84" s="563"/>
      <c r="QB84" s="563"/>
      <c r="QC84" s="563"/>
      <c r="QD84" s="563"/>
      <c r="QE84" s="563"/>
      <c r="QF84" s="563"/>
      <c r="QG84" s="563"/>
      <c r="QH84" s="563"/>
      <c r="QI84" s="563"/>
      <c r="QJ84" s="563"/>
      <c r="QK84" s="563"/>
      <c r="QL84" s="563"/>
      <c r="QM84" s="563"/>
      <c r="QN84" s="563"/>
      <c r="QO84" s="563"/>
      <c r="QP84" s="563"/>
      <c r="QQ84" s="563"/>
      <c r="QR84" s="563"/>
      <c r="QS84" s="563"/>
      <c r="QT84" s="563"/>
      <c r="QU84" s="563"/>
      <c r="QV84" s="563"/>
      <c r="QW84" s="563"/>
      <c r="QX84" s="563"/>
      <c r="QY84" s="563"/>
      <c r="QZ84" s="563"/>
      <c r="RA84" s="563"/>
      <c r="RB84" s="563"/>
      <c r="RC84" s="563"/>
      <c r="RD84" s="563"/>
      <c r="RE84" s="563"/>
      <c r="RF84" s="563"/>
      <c r="RG84" s="563"/>
      <c r="RH84" s="563"/>
      <c r="RI84" s="563"/>
      <c r="RJ84" s="563"/>
      <c r="RK84" s="563"/>
      <c r="RL84" s="563"/>
      <c r="RM84" s="563"/>
      <c r="RN84" s="563"/>
      <c r="RO84" s="563"/>
      <c r="RP84" s="563"/>
      <c r="RQ84" s="563"/>
      <c r="RR84" s="563"/>
      <c r="RS84" s="563"/>
      <c r="RT84" s="563"/>
      <c r="RU84" s="563"/>
      <c r="RV84" s="563"/>
      <c r="RW84" s="563"/>
      <c r="RX84" s="563"/>
      <c r="RY84" s="563"/>
      <c r="RZ84" s="563"/>
      <c r="SA84" s="563"/>
      <c r="SB84" s="563"/>
      <c r="SC84" s="563"/>
      <c r="SD84" s="563"/>
      <c r="SE84" s="563"/>
      <c r="SF84" s="563"/>
      <c r="SG84" s="563"/>
      <c r="SH84" s="563"/>
      <c r="SI84" s="563"/>
      <c r="SJ84" s="563"/>
      <c r="SK84" s="563"/>
      <c r="SL84" s="563"/>
      <c r="SM84" s="563"/>
      <c r="SN84" s="563"/>
      <c r="SO84" s="563"/>
      <c r="SP84" s="563"/>
      <c r="SQ84" s="563"/>
      <c r="SR84" s="563"/>
      <c r="SS84" s="563"/>
      <c r="ST84" s="563"/>
      <c r="SU84" s="563"/>
      <c r="SV84" s="563"/>
      <c r="SW84" s="563"/>
      <c r="SX84" s="563"/>
      <c r="SY84" s="563"/>
      <c r="SZ84" s="563"/>
      <c r="TA84" s="563"/>
      <c r="TB84" s="563"/>
      <c r="TC84" s="563"/>
      <c r="TD84" s="563"/>
      <c r="TE84" s="563"/>
      <c r="TF84" s="563"/>
      <c r="TG84" s="563"/>
      <c r="TH84" s="563"/>
      <c r="TI84" s="563"/>
      <c r="TJ84" s="563"/>
      <c r="TK84" s="563"/>
      <c r="TL84" s="563"/>
      <c r="TM84" s="563"/>
      <c r="TN84" s="563"/>
      <c r="TO84" s="563"/>
      <c r="TP84" s="563"/>
      <c r="TQ84" s="563"/>
      <c r="TR84" s="563"/>
      <c r="TS84" s="563"/>
      <c r="TT84" s="563"/>
      <c r="TU84" s="563"/>
      <c r="TV84" s="563"/>
      <c r="TW84" s="563"/>
      <c r="TX84" s="563"/>
      <c r="TY84" s="563"/>
      <c r="TZ84" s="563"/>
      <c r="UA84" s="563"/>
      <c r="UB84" s="563"/>
      <c r="UC84" s="563"/>
      <c r="UD84" s="563"/>
      <c r="UE84" s="563"/>
      <c r="UF84" s="563"/>
      <c r="UG84" s="563"/>
      <c r="UH84" s="563"/>
      <c r="UI84" s="563"/>
      <c r="UJ84" s="563"/>
      <c r="UK84" s="563"/>
      <c r="UL84" s="563"/>
      <c r="UM84" s="563"/>
      <c r="UN84" s="563"/>
      <c r="UO84" s="563"/>
      <c r="UP84" s="563"/>
      <c r="UQ84" s="563"/>
      <c r="UR84" s="563"/>
      <c r="US84" s="563"/>
      <c r="UT84" s="563"/>
      <c r="UU84" s="563"/>
      <c r="UV84" s="563"/>
      <c r="UW84" s="563"/>
      <c r="UX84" s="563"/>
      <c r="UY84" s="563"/>
      <c r="UZ84" s="563"/>
      <c r="VA84" s="563"/>
      <c r="VB84" s="563"/>
      <c r="VC84" s="563"/>
      <c r="VD84" s="563"/>
      <c r="VE84" s="563"/>
      <c r="VF84" s="563"/>
      <c r="VG84" s="563"/>
      <c r="VH84" s="563"/>
      <c r="VI84" s="563"/>
      <c r="VJ84" s="563"/>
      <c r="VK84" s="563"/>
      <c r="VL84" s="563"/>
      <c r="VM84" s="563"/>
      <c r="VN84" s="563"/>
      <c r="VO84" s="563"/>
      <c r="VP84" s="563"/>
      <c r="VQ84" s="563"/>
      <c r="VR84" s="563"/>
      <c r="VS84" s="563"/>
      <c r="VT84" s="563"/>
      <c r="VU84" s="563"/>
      <c r="VV84" s="563"/>
      <c r="VW84" s="563"/>
      <c r="VX84" s="563"/>
      <c r="VY84" s="563"/>
      <c r="VZ84" s="563"/>
      <c r="WA84" s="563"/>
      <c r="WB84" s="563"/>
      <c r="WC84" s="563"/>
      <c r="WD84" s="563"/>
      <c r="WE84" s="563"/>
      <c r="WF84" s="563"/>
      <c r="WG84" s="563"/>
      <c r="WH84" s="563"/>
      <c r="WI84" s="563"/>
      <c r="WJ84" s="563"/>
      <c r="WK84" s="563"/>
      <c r="WL84" s="563"/>
      <c r="WM84" s="563"/>
      <c r="WN84" s="563"/>
      <c r="WO84" s="563"/>
      <c r="WP84" s="563"/>
      <c r="WQ84" s="563"/>
      <c r="WR84" s="563"/>
      <c r="WS84" s="563"/>
      <c r="WT84" s="563"/>
      <c r="WU84" s="563"/>
      <c r="WV84" s="563"/>
      <c r="WW84" s="563"/>
      <c r="WX84" s="563"/>
      <c r="WY84" s="563"/>
      <c r="WZ84" s="563"/>
      <c r="XA84" s="563"/>
      <c r="XB84" s="563"/>
      <c r="XC84" s="563"/>
      <c r="XD84" s="563"/>
      <c r="XE84" s="563"/>
      <c r="XF84" s="563"/>
      <c r="XG84" s="563"/>
      <c r="XH84" s="563"/>
      <c r="XI84" s="563"/>
      <c r="XJ84" s="563"/>
      <c r="XK84" s="563"/>
      <c r="XL84" s="563"/>
      <c r="XM84" s="563"/>
      <c r="XN84" s="563"/>
      <c r="XO84" s="563"/>
      <c r="XP84" s="563"/>
      <c r="XQ84" s="563"/>
      <c r="XR84" s="563"/>
      <c r="XS84" s="563"/>
      <c r="XT84" s="563"/>
      <c r="XU84" s="563"/>
      <c r="XV84" s="563"/>
      <c r="XW84" s="563"/>
      <c r="XX84" s="563"/>
      <c r="XY84" s="563"/>
      <c r="XZ84" s="563"/>
      <c r="YA84" s="563"/>
      <c r="YB84" s="563"/>
      <c r="YC84" s="563"/>
      <c r="YD84" s="563"/>
      <c r="YE84" s="563"/>
      <c r="YF84" s="563"/>
      <c r="YG84" s="563"/>
      <c r="YH84" s="563"/>
      <c r="YI84" s="563"/>
      <c r="YJ84" s="563"/>
      <c r="YK84" s="563"/>
      <c r="YL84" s="563"/>
      <c r="YM84" s="563"/>
      <c r="YN84" s="563"/>
      <c r="YO84" s="563"/>
      <c r="YP84" s="563"/>
      <c r="YQ84" s="563"/>
      <c r="YR84" s="563"/>
      <c r="YS84" s="563"/>
      <c r="YT84" s="563"/>
      <c r="YU84" s="563"/>
      <c r="YV84" s="563"/>
      <c r="YW84" s="563"/>
      <c r="YX84" s="563"/>
      <c r="YY84" s="563"/>
      <c r="YZ84" s="563"/>
      <c r="ZA84" s="563"/>
      <c r="ZB84" s="563"/>
      <c r="ZC84" s="563"/>
      <c r="ZD84" s="563"/>
      <c r="ZE84" s="563"/>
      <c r="ZF84" s="563"/>
      <c r="ZG84" s="563"/>
      <c r="ZH84" s="563"/>
      <c r="ZI84" s="563"/>
      <c r="ZJ84" s="563"/>
      <c r="ZK84" s="563"/>
      <c r="ZL84" s="563"/>
      <c r="ZM84" s="563"/>
      <c r="ZN84" s="563"/>
      <c r="ZO84" s="563"/>
      <c r="ZP84" s="563"/>
      <c r="ZQ84" s="563"/>
      <c r="ZR84" s="563"/>
      <c r="ZS84" s="563"/>
      <c r="ZT84" s="563"/>
      <c r="ZU84" s="563"/>
      <c r="ZV84" s="563"/>
      <c r="ZW84" s="563"/>
      <c r="ZX84" s="563"/>
      <c r="ZY84" s="563"/>
      <c r="ZZ84" s="563"/>
      <c r="AAA84" s="563"/>
      <c r="AAB84" s="563"/>
      <c r="AAC84" s="563"/>
      <c r="AAD84" s="563"/>
      <c r="AAE84" s="563"/>
      <c r="AAF84" s="563"/>
      <c r="AAG84" s="563"/>
      <c r="AAH84" s="563"/>
      <c r="AAI84" s="563"/>
      <c r="AAJ84" s="563"/>
      <c r="AAK84" s="563"/>
      <c r="AAL84" s="563"/>
      <c r="AAM84" s="563"/>
      <c r="AAN84" s="563"/>
      <c r="AAO84" s="563"/>
      <c r="AAP84" s="563"/>
      <c r="AAQ84" s="563"/>
      <c r="AAR84" s="563"/>
      <c r="AAS84" s="563"/>
      <c r="AAT84" s="563"/>
      <c r="AAU84" s="563"/>
      <c r="AAV84" s="563"/>
      <c r="AAW84" s="563"/>
      <c r="AAX84" s="563"/>
      <c r="AAY84" s="563"/>
      <c r="AAZ84" s="563"/>
      <c r="ABA84" s="563"/>
      <c r="ABB84" s="563"/>
      <c r="ABC84" s="563"/>
      <c r="ABD84" s="563"/>
      <c r="ABE84" s="563"/>
      <c r="ABF84" s="563"/>
      <c r="ABG84" s="563"/>
      <c r="ABH84" s="563"/>
      <c r="ABI84" s="563"/>
      <c r="ABJ84" s="563"/>
      <c r="ABK84" s="563"/>
      <c r="ABL84" s="563"/>
      <c r="ABM84" s="563"/>
      <c r="ABN84" s="563"/>
      <c r="ABO84" s="563"/>
      <c r="ABP84" s="563"/>
      <c r="ABQ84" s="563"/>
      <c r="ABR84" s="563"/>
      <c r="ABS84" s="563"/>
      <c r="ABT84" s="563"/>
      <c r="ABU84" s="563"/>
      <c r="ABV84" s="563"/>
      <c r="ABW84" s="563"/>
      <c r="ABX84" s="563"/>
      <c r="ABY84" s="563"/>
      <c r="ABZ84" s="563"/>
      <c r="ACA84" s="563"/>
      <c r="ACB84" s="563"/>
      <c r="ACC84" s="563"/>
      <c r="ACD84" s="563"/>
      <c r="ACE84" s="563"/>
      <c r="ACF84" s="563"/>
      <c r="ACG84" s="563"/>
      <c r="ACH84" s="563"/>
      <c r="ACI84" s="563"/>
      <c r="ACJ84" s="563"/>
      <c r="ACK84" s="563"/>
      <c r="ACL84" s="563"/>
      <c r="ACM84" s="563"/>
      <c r="ACN84" s="563"/>
      <c r="ACO84" s="563"/>
      <c r="ACP84" s="563"/>
      <c r="ACQ84" s="563"/>
      <c r="ACR84" s="563"/>
      <c r="ACS84" s="563"/>
      <c r="ACT84" s="563"/>
      <c r="ACU84" s="563"/>
      <c r="ACV84" s="563"/>
      <c r="ACW84" s="563"/>
      <c r="ACX84" s="563"/>
      <c r="ACY84" s="563"/>
      <c r="ACZ84" s="563"/>
      <c r="ADA84" s="563"/>
      <c r="ADB84" s="563"/>
      <c r="ADC84" s="563"/>
      <c r="ADD84" s="563"/>
      <c r="ADE84" s="563"/>
      <c r="ADF84" s="563"/>
      <c r="ADG84" s="563"/>
      <c r="ADH84" s="563"/>
      <c r="ADI84" s="563"/>
      <c r="ADJ84" s="563"/>
      <c r="ADK84" s="563"/>
      <c r="ADL84" s="563"/>
      <c r="ADM84" s="563"/>
      <c r="ADN84" s="563"/>
      <c r="ADO84" s="563"/>
      <c r="ADP84" s="563"/>
      <c r="ADQ84" s="563"/>
      <c r="ADR84" s="563"/>
      <c r="ADS84" s="563"/>
      <c r="ADT84" s="563"/>
      <c r="ADU84" s="563"/>
      <c r="ADV84" s="563"/>
      <c r="ADW84" s="563"/>
      <c r="ADX84" s="563"/>
      <c r="ADY84" s="563"/>
      <c r="ADZ84" s="563"/>
      <c r="AEA84" s="563"/>
      <c r="AEB84" s="563"/>
      <c r="AEC84" s="563"/>
      <c r="AED84" s="563"/>
      <c r="AEE84" s="563"/>
      <c r="AEF84" s="563"/>
      <c r="AEG84" s="563"/>
      <c r="AEH84" s="563"/>
      <c r="AEI84" s="563"/>
      <c r="AEJ84" s="563"/>
      <c r="AEK84" s="563"/>
      <c r="AEL84" s="563"/>
      <c r="AEM84" s="563"/>
      <c r="AEN84" s="563"/>
      <c r="AEO84" s="563"/>
      <c r="AEP84" s="563"/>
      <c r="AEQ84" s="563"/>
      <c r="AER84" s="563"/>
      <c r="AES84" s="563"/>
      <c r="AET84" s="563"/>
      <c r="AEU84" s="563"/>
      <c r="AEV84" s="563"/>
      <c r="AEW84" s="563"/>
      <c r="AEX84" s="563"/>
      <c r="AEY84" s="563"/>
      <c r="AEZ84" s="563"/>
      <c r="AFA84" s="563"/>
      <c r="AFB84" s="563"/>
      <c r="AFC84" s="563"/>
      <c r="AFD84" s="563"/>
      <c r="AFE84" s="563"/>
      <c r="AFF84" s="563"/>
      <c r="AFG84" s="563"/>
      <c r="AFH84" s="563"/>
      <c r="AFI84" s="563"/>
      <c r="AFJ84" s="563"/>
      <c r="AFK84" s="563"/>
      <c r="AFL84" s="563"/>
      <c r="AFM84" s="563"/>
      <c r="AFN84" s="563"/>
      <c r="AFO84" s="563"/>
      <c r="AFP84" s="563"/>
      <c r="AFQ84" s="563"/>
      <c r="AFR84" s="563"/>
      <c r="AFS84" s="563"/>
      <c r="AFT84" s="563"/>
      <c r="AFU84" s="563"/>
      <c r="AFV84" s="563"/>
      <c r="AFW84" s="563"/>
      <c r="AFX84" s="563"/>
      <c r="AFY84" s="563"/>
      <c r="AFZ84" s="563"/>
      <c r="AGA84" s="563"/>
      <c r="AGB84" s="563"/>
      <c r="AGC84" s="563"/>
      <c r="AGD84" s="563"/>
      <c r="AGE84" s="563"/>
      <c r="AGF84" s="563"/>
      <c r="AGG84" s="563"/>
      <c r="AGH84" s="563"/>
      <c r="AGI84" s="563"/>
      <c r="AGJ84" s="563"/>
      <c r="AGK84" s="563"/>
      <c r="AGL84" s="563"/>
      <c r="AGM84" s="563"/>
      <c r="AGN84" s="563"/>
      <c r="AGO84" s="563"/>
      <c r="AGP84" s="563"/>
      <c r="AGQ84" s="563"/>
      <c r="AGR84" s="563"/>
      <c r="AGS84" s="563"/>
      <c r="AGT84" s="563"/>
      <c r="AGU84" s="563"/>
      <c r="AGV84" s="563"/>
      <c r="AGW84" s="563"/>
      <c r="AGX84" s="563"/>
      <c r="AGY84" s="563"/>
      <c r="AGZ84" s="563"/>
      <c r="AHA84" s="563"/>
      <c r="AHB84" s="563"/>
      <c r="AHC84" s="563"/>
      <c r="AHD84" s="563"/>
      <c r="AHE84" s="563"/>
      <c r="AHF84" s="563"/>
      <c r="AHG84" s="563"/>
      <c r="AHH84" s="563"/>
      <c r="AHI84" s="563"/>
      <c r="AHJ84" s="563"/>
      <c r="AHK84" s="563"/>
      <c r="AHL84" s="563"/>
      <c r="AHM84" s="563"/>
      <c r="AHN84" s="563"/>
      <c r="AHO84" s="563"/>
      <c r="AHP84" s="563"/>
      <c r="AHQ84" s="563"/>
      <c r="AHR84" s="563"/>
      <c r="AHS84" s="563"/>
      <c r="AHT84" s="563"/>
      <c r="AHU84" s="563"/>
      <c r="AHV84" s="563"/>
      <c r="AHW84" s="563"/>
      <c r="AHX84" s="563"/>
      <c r="AHY84" s="563"/>
      <c r="AHZ84" s="563"/>
      <c r="AIA84" s="563"/>
      <c r="AIB84" s="563"/>
      <c r="AIC84" s="563"/>
      <c r="AID84" s="563"/>
      <c r="AIE84" s="563"/>
      <c r="AIF84" s="563"/>
      <c r="AIG84" s="563"/>
      <c r="AIH84" s="563"/>
      <c r="AII84" s="563"/>
      <c r="AIJ84" s="563"/>
      <c r="AIK84" s="563"/>
      <c r="AIL84" s="563"/>
      <c r="AIM84" s="563"/>
      <c r="AIN84" s="563"/>
      <c r="AIO84" s="563"/>
      <c r="AIP84" s="563"/>
      <c r="AIQ84" s="563"/>
      <c r="AIR84" s="563"/>
      <c r="AIS84" s="563"/>
      <c r="AIT84" s="563"/>
      <c r="AIU84" s="563"/>
      <c r="AIV84" s="563"/>
      <c r="AIW84" s="563"/>
      <c r="AIX84" s="563"/>
      <c r="AIY84" s="563"/>
      <c r="AIZ84" s="563"/>
      <c r="AJA84" s="563"/>
      <c r="AJB84" s="563"/>
      <c r="AJC84" s="563"/>
      <c r="AJD84" s="563"/>
      <c r="AJE84" s="563"/>
      <c r="AJF84" s="563"/>
      <c r="AJG84" s="563"/>
      <c r="AJH84" s="563"/>
      <c r="AJI84" s="563"/>
      <c r="AJJ84" s="563"/>
      <c r="AJK84" s="563"/>
      <c r="AJL84" s="563"/>
      <c r="AJM84" s="563"/>
      <c r="AJN84" s="563"/>
      <c r="AJO84" s="563"/>
      <c r="AJP84" s="563"/>
      <c r="AJQ84" s="563"/>
      <c r="AJR84" s="563"/>
      <c r="AJS84" s="563"/>
      <c r="AJT84" s="563"/>
      <c r="AJU84" s="563"/>
      <c r="AJV84" s="563"/>
      <c r="AJW84" s="563"/>
      <c r="AJX84" s="563"/>
      <c r="AJY84" s="563"/>
      <c r="AJZ84" s="563"/>
      <c r="AKA84" s="563"/>
      <c r="AKB84" s="563"/>
      <c r="AKC84" s="563"/>
      <c r="AKD84" s="563"/>
      <c r="AKE84" s="563"/>
      <c r="AKF84" s="563"/>
      <c r="AKG84" s="563"/>
      <c r="AKH84" s="563"/>
      <c r="AKI84" s="563"/>
      <c r="AKJ84" s="563"/>
      <c r="AKK84" s="563"/>
      <c r="AKL84" s="563"/>
      <c r="AKM84" s="563"/>
    </row>
    <row r="85" s="670" customFormat="1" ht="11.5" spans="1:975">
      <c r="A85" s="1173">
        <v>46241</v>
      </c>
      <c r="B85" s="1165" t="s">
        <v>373</v>
      </c>
      <c r="C85" s="1174"/>
      <c r="D85" s="1165" t="s">
        <v>359</v>
      </c>
      <c r="E85" s="1138"/>
      <c r="F85" s="1166"/>
      <c r="G85" s="1166">
        <v>10225</v>
      </c>
      <c r="H85" s="1140">
        <v>1</v>
      </c>
      <c r="I85" s="1167">
        <f t="shared" si="46"/>
        <v>10225</v>
      </c>
      <c r="J85" s="1168">
        <v>9000000</v>
      </c>
      <c r="K85" s="1169"/>
      <c r="L85" s="1170">
        <f t="shared" si="47"/>
        <v>10225</v>
      </c>
      <c r="M85" s="1170">
        <f t="shared" si="48"/>
        <v>10225</v>
      </c>
      <c r="N85" s="1174"/>
      <c r="O85" s="1174"/>
      <c r="P85" s="1174"/>
      <c r="Q85" s="1169">
        <v>46241</v>
      </c>
      <c r="R85" s="1169">
        <v>46248</v>
      </c>
      <c r="S85" s="1138" t="s">
        <v>87</v>
      </c>
      <c r="T85" s="1166">
        <v>40.9</v>
      </c>
      <c r="U85" s="1177"/>
      <c r="V85" s="1177"/>
      <c r="W85" s="1178"/>
      <c r="X85" s="1045" t="str">
        <f t="shared" si="40"/>
        <v/>
      </c>
      <c r="Y85" s="1046" t="str">
        <f t="shared" si="41"/>
        <v/>
      </c>
      <c r="Z85" s="1047" t="str">
        <f t="shared" si="42"/>
        <v/>
      </c>
      <c r="AA85" s="1047" t="str">
        <f t="shared" si="43"/>
        <v/>
      </c>
      <c r="AB85" s="1047" t="str">
        <f t="shared" si="44"/>
        <v/>
      </c>
      <c r="AC85" s="1048">
        <f t="shared" si="45"/>
        <v>10225</v>
      </c>
      <c r="AD85" s="563"/>
      <c r="AE85" s="563"/>
      <c r="AF85" s="563"/>
      <c r="AG85" s="563"/>
      <c r="AH85" s="563"/>
      <c r="AI85" s="563"/>
      <c r="AJ85" s="563"/>
      <c r="AK85" s="563"/>
      <c r="AL85" s="563"/>
      <c r="AM85" s="563"/>
      <c r="AN85" s="563"/>
      <c r="AO85" s="563"/>
      <c r="AP85" s="563"/>
      <c r="AQ85" s="563"/>
      <c r="AR85" s="563"/>
      <c r="AS85" s="563"/>
      <c r="AT85" s="563"/>
      <c r="AU85" s="563"/>
      <c r="AV85" s="563"/>
      <c r="AW85" s="563"/>
      <c r="AX85" s="563"/>
      <c r="AY85" s="563"/>
      <c r="AZ85" s="563"/>
      <c r="BA85" s="563"/>
      <c r="BB85" s="563"/>
      <c r="BC85" s="563"/>
      <c r="BD85" s="563"/>
      <c r="BE85" s="563"/>
      <c r="BF85" s="563"/>
      <c r="BG85" s="563"/>
      <c r="BH85" s="563"/>
      <c r="BI85" s="563"/>
      <c r="BJ85" s="563"/>
      <c r="BK85" s="563"/>
      <c r="BL85" s="563"/>
      <c r="BM85" s="563"/>
      <c r="BN85" s="563"/>
      <c r="BO85" s="563"/>
      <c r="BP85" s="563"/>
      <c r="BQ85" s="563"/>
      <c r="BR85" s="563"/>
      <c r="BS85" s="563"/>
      <c r="BT85" s="563"/>
      <c r="BU85" s="563"/>
      <c r="BV85" s="563"/>
      <c r="BW85" s="563"/>
      <c r="BX85" s="563"/>
      <c r="BY85" s="563"/>
      <c r="BZ85" s="563"/>
      <c r="CA85" s="563"/>
      <c r="CB85" s="563"/>
      <c r="CC85" s="563"/>
      <c r="CD85" s="563"/>
      <c r="CE85" s="563"/>
      <c r="CF85" s="563"/>
      <c r="CG85" s="563"/>
      <c r="CH85" s="563"/>
      <c r="CI85" s="563"/>
      <c r="CJ85" s="563"/>
      <c r="CK85" s="563"/>
      <c r="CL85" s="563"/>
      <c r="CM85" s="563"/>
      <c r="CN85" s="563"/>
      <c r="CO85" s="563"/>
      <c r="CP85" s="563"/>
      <c r="CQ85" s="563"/>
      <c r="CR85" s="563"/>
      <c r="CS85" s="563"/>
      <c r="CT85" s="563"/>
      <c r="CU85" s="563"/>
      <c r="CV85" s="563"/>
      <c r="CW85" s="563"/>
      <c r="CX85" s="563"/>
      <c r="CY85" s="563"/>
      <c r="CZ85" s="563"/>
      <c r="DA85" s="563"/>
      <c r="DB85" s="563"/>
      <c r="DC85" s="563"/>
      <c r="DD85" s="563"/>
      <c r="DE85" s="563"/>
      <c r="DF85" s="563"/>
      <c r="DG85" s="563"/>
      <c r="DH85" s="563"/>
      <c r="DI85" s="563"/>
      <c r="DJ85" s="563"/>
      <c r="DK85" s="563"/>
      <c r="DL85" s="563"/>
      <c r="DM85" s="563"/>
      <c r="DN85" s="563"/>
      <c r="DO85" s="563"/>
      <c r="DP85" s="563"/>
      <c r="DQ85" s="563"/>
      <c r="DR85" s="563"/>
      <c r="DS85" s="563"/>
      <c r="DT85" s="563"/>
      <c r="DU85" s="563"/>
      <c r="DV85" s="563"/>
      <c r="DW85" s="563"/>
      <c r="DX85" s="563"/>
      <c r="DY85" s="563"/>
      <c r="DZ85" s="563"/>
      <c r="EA85" s="563"/>
      <c r="EB85" s="563"/>
      <c r="EC85" s="563"/>
      <c r="ED85" s="563"/>
      <c r="EE85" s="563"/>
      <c r="EF85" s="563"/>
      <c r="EG85" s="563"/>
      <c r="EH85" s="563"/>
      <c r="EI85" s="563"/>
      <c r="EJ85" s="563"/>
      <c r="EK85" s="563"/>
      <c r="EL85" s="563"/>
      <c r="EM85" s="563"/>
      <c r="EN85" s="563"/>
      <c r="EO85" s="563"/>
      <c r="EP85" s="563"/>
      <c r="EQ85" s="563"/>
      <c r="ER85" s="563"/>
      <c r="ES85" s="563"/>
      <c r="ET85" s="563"/>
      <c r="EU85" s="563"/>
      <c r="EV85" s="563"/>
      <c r="EW85" s="563"/>
      <c r="EX85" s="563"/>
      <c r="EY85" s="563"/>
      <c r="EZ85" s="563"/>
      <c r="FA85" s="563"/>
      <c r="FB85" s="563"/>
      <c r="FC85" s="563"/>
      <c r="FD85" s="563"/>
      <c r="FE85" s="563"/>
      <c r="FF85" s="563"/>
      <c r="FG85" s="563"/>
      <c r="FH85" s="563"/>
      <c r="FI85" s="563"/>
      <c r="FJ85" s="563"/>
      <c r="FK85" s="563"/>
      <c r="FL85" s="563"/>
      <c r="FM85" s="563"/>
      <c r="FN85" s="563"/>
      <c r="FO85" s="563"/>
      <c r="FP85" s="563"/>
      <c r="FQ85" s="563"/>
      <c r="FR85" s="563"/>
      <c r="FS85" s="563"/>
      <c r="FT85" s="563"/>
      <c r="FU85" s="563"/>
      <c r="FV85" s="563"/>
      <c r="FW85" s="563"/>
      <c r="FX85" s="563"/>
      <c r="FY85" s="563"/>
      <c r="FZ85" s="563"/>
      <c r="GA85" s="563"/>
      <c r="GB85" s="563"/>
      <c r="GC85" s="563"/>
      <c r="GD85" s="563"/>
      <c r="GE85" s="563"/>
      <c r="GF85" s="563"/>
      <c r="GG85" s="563"/>
      <c r="GH85" s="563"/>
      <c r="GI85" s="563"/>
      <c r="GJ85" s="563"/>
      <c r="GK85" s="563"/>
      <c r="GL85" s="563"/>
      <c r="GM85" s="563"/>
      <c r="GN85" s="563"/>
      <c r="GO85" s="563"/>
      <c r="GP85" s="563"/>
      <c r="GQ85" s="563"/>
      <c r="GR85" s="563"/>
      <c r="GS85" s="563"/>
      <c r="GT85" s="563"/>
      <c r="GU85" s="563"/>
      <c r="GV85" s="563"/>
      <c r="GW85" s="563"/>
      <c r="GX85" s="563"/>
      <c r="GY85" s="563"/>
      <c r="GZ85" s="563"/>
      <c r="HA85" s="563"/>
      <c r="HB85" s="563"/>
      <c r="HC85" s="563"/>
      <c r="HD85" s="563"/>
      <c r="HE85" s="563"/>
      <c r="HF85" s="563"/>
      <c r="HG85" s="563"/>
      <c r="HH85" s="563"/>
      <c r="HI85" s="563"/>
      <c r="HJ85" s="563"/>
      <c r="HK85" s="563"/>
      <c r="HL85" s="563"/>
      <c r="HM85" s="563"/>
      <c r="HN85" s="563"/>
      <c r="HO85" s="563"/>
      <c r="HP85" s="563"/>
      <c r="HQ85" s="563"/>
      <c r="HR85" s="563"/>
      <c r="HS85" s="563"/>
      <c r="HT85" s="563"/>
      <c r="HU85" s="563"/>
      <c r="HV85" s="563"/>
      <c r="HW85" s="563"/>
      <c r="HX85" s="563"/>
      <c r="HY85" s="563"/>
      <c r="HZ85" s="563"/>
      <c r="IA85" s="563"/>
      <c r="IB85" s="563"/>
      <c r="IC85" s="563"/>
      <c r="ID85" s="563"/>
      <c r="IE85" s="563"/>
      <c r="IF85" s="563"/>
      <c r="IG85" s="563"/>
      <c r="IH85" s="563"/>
      <c r="II85" s="563"/>
      <c r="IJ85" s="563"/>
      <c r="IK85" s="563"/>
      <c r="IL85" s="563"/>
      <c r="IM85" s="563"/>
      <c r="IN85" s="563"/>
      <c r="IO85" s="563"/>
      <c r="IP85" s="563"/>
      <c r="IQ85" s="563"/>
      <c r="IR85" s="563"/>
      <c r="IS85" s="563"/>
      <c r="IT85" s="563"/>
      <c r="IU85" s="563"/>
      <c r="IV85" s="563"/>
      <c r="IW85" s="563"/>
      <c r="IX85" s="563"/>
      <c r="IY85" s="563"/>
      <c r="IZ85" s="563"/>
      <c r="JA85" s="563"/>
      <c r="JB85" s="563"/>
      <c r="JC85" s="563"/>
      <c r="JD85" s="563"/>
      <c r="JE85" s="563"/>
      <c r="JF85" s="563"/>
      <c r="JG85" s="563"/>
      <c r="JH85" s="563"/>
      <c r="JI85" s="563"/>
      <c r="JJ85" s="563"/>
      <c r="JK85" s="563"/>
      <c r="JL85" s="563"/>
      <c r="JM85" s="563"/>
      <c r="JN85" s="563"/>
      <c r="JO85" s="563"/>
      <c r="JP85" s="563"/>
      <c r="JQ85" s="563"/>
      <c r="JR85" s="563"/>
      <c r="JS85" s="563"/>
      <c r="JT85" s="563"/>
      <c r="JU85" s="563"/>
      <c r="JV85" s="563"/>
      <c r="JW85" s="563"/>
      <c r="JX85" s="563"/>
      <c r="JY85" s="563"/>
      <c r="JZ85" s="563"/>
      <c r="KA85" s="563"/>
      <c r="KB85" s="563"/>
      <c r="KC85" s="563"/>
      <c r="KD85" s="563"/>
      <c r="KE85" s="563"/>
      <c r="KF85" s="563"/>
      <c r="KG85" s="563"/>
      <c r="KH85" s="563"/>
      <c r="KI85" s="563"/>
      <c r="KJ85" s="563"/>
      <c r="KK85" s="563"/>
      <c r="KL85" s="563"/>
      <c r="KM85" s="563"/>
      <c r="KN85" s="563"/>
      <c r="KO85" s="563"/>
      <c r="KP85" s="563"/>
      <c r="KQ85" s="563"/>
      <c r="KR85" s="563"/>
      <c r="KS85" s="563"/>
      <c r="KT85" s="563"/>
      <c r="KU85" s="563"/>
      <c r="KV85" s="563"/>
      <c r="KW85" s="563"/>
      <c r="KX85" s="563"/>
      <c r="KY85" s="563"/>
      <c r="KZ85" s="563"/>
      <c r="LA85" s="563"/>
      <c r="LB85" s="563"/>
      <c r="LC85" s="563"/>
      <c r="LD85" s="563"/>
      <c r="LE85" s="563"/>
      <c r="LF85" s="563"/>
      <c r="LG85" s="563"/>
      <c r="LH85" s="563"/>
      <c r="LI85" s="563"/>
      <c r="LJ85" s="563"/>
      <c r="LK85" s="563"/>
      <c r="LL85" s="563"/>
      <c r="LM85" s="563"/>
      <c r="LN85" s="563"/>
      <c r="LO85" s="563"/>
      <c r="LP85" s="563"/>
      <c r="LQ85" s="563"/>
      <c r="LR85" s="563"/>
      <c r="LS85" s="563"/>
      <c r="LT85" s="563"/>
      <c r="LU85" s="563"/>
      <c r="LV85" s="563"/>
      <c r="LW85" s="563"/>
      <c r="LX85" s="563"/>
      <c r="LY85" s="563"/>
      <c r="LZ85" s="563"/>
      <c r="MA85" s="563"/>
      <c r="MB85" s="563"/>
      <c r="MC85" s="563"/>
      <c r="MD85" s="563"/>
      <c r="ME85" s="563"/>
      <c r="MF85" s="563"/>
      <c r="MG85" s="563"/>
      <c r="MH85" s="563"/>
      <c r="MI85" s="563"/>
      <c r="MJ85" s="563"/>
      <c r="MK85" s="563"/>
      <c r="ML85" s="563"/>
      <c r="MM85" s="563"/>
      <c r="MN85" s="563"/>
      <c r="MO85" s="563"/>
      <c r="MP85" s="563"/>
      <c r="MQ85" s="563"/>
      <c r="MR85" s="563"/>
      <c r="MS85" s="563"/>
      <c r="MT85" s="563"/>
      <c r="MU85" s="563"/>
      <c r="MV85" s="563"/>
      <c r="MW85" s="563"/>
      <c r="MX85" s="563"/>
      <c r="MY85" s="563"/>
      <c r="MZ85" s="563"/>
      <c r="NA85" s="563"/>
      <c r="NB85" s="563"/>
      <c r="NC85" s="563"/>
      <c r="ND85" s="563"/>
      <c r="NE85" s="563"/>
      <c r="NF85" s="563"/>
      <c r="NG85" s="563"/>
      <c r="NH85" s="563"/>
      <c r="NI85" s="563"/>
      <c r="NJ85" s="563"/>
      <c r="NK85" s="563"/>
      <c r="NL85" s="563"/>
      <c r="NM85" s="563"/>
      <c r="NN85" s="563"/>
      <c r="NO85" s="563"/>
      <c r="NP85" s="563"/>
      <c r="NQ85" s="563"/>
      <c r="NR85" s="563"/>
      <c r="NS85" s="563"/>
      <c r="NT85" s="563"/>
      <c r="NU85" s="563"/>
      <c r="NV85" s="563"/>
      <c r="NW85" s="563"/>
      <c r="NX85" s="563"/>
      <c r="NY85" s="563"/>
      <c r="NZ85" s="563"/>
      <c r="OA85" s="563"/>
      <c r="OB85" s="563"/>
      <c r="OC85" s="563"/>
      <c r="OD85" s="563"/>
      <c r="OE85" s="563"/>
      <c r="OF85" s="563"/>
      <c r="OG85" s="563"/>
      <c r="OH85" s="563"/>
      <c r="OI85" s="563"/>
      <c r="OJ85" s="563"/>
      <c r="OK85" s="563"/>
      <c r="OL85" s="563"/>
      <c r="OM85" s="563"/>
      <c r="ON85" s="563"/>
      <c r="OO85" s="563"/>
      <c r="OP85" s="563"/>
      <c r="OQ85" s="563"/>
      <c r="OR85" s="563"/>
      <c r="OS85" s="563"/>
      <c r="OT85" s="563"/>
      <c r="OU85" s="563"/>
      <c r="OV85" s="563"/>
      <c r="OW85" s="563"/>
      <c r="OX85" s="563"/>
      <c r="OY85" s="563"/>
      <c r="OZ85" s="563"/>
      <c r="PA85" s="563"/>
      <c r="PB85" s="563"/>
      <c r="PC85" s="563"/>
      <c r="PD85" s="563"/>
      <c r="PE85" s="563"/>
      <c r="PF85" s="563"/>
      <c r="PG85" s="563"/>
      <c r="PH85" s="563"/>
      <c r="PI85" s="563"/>
      <c r="PJ85" s="563"/>
      <c r="PK85" s="563"/>
      <c r="PL85" s="563"/>
      <c r="PM85" s="563"/>
      <c r="PN85" s="563"/>
      <c r="PO85" s="563"/>
      <c r="PP85" s="563"/>
      <c r="PQ85" s="563"/>
      <c r="PR85" s="563"/>
      <c r="PS85" s="563"/>
      <c r="PT85" s="563"/>
      <c r="PU85" s="563"/>
      <c r="PV85" s="563"/>
      <c r="PW85" s="563"/>
      <c r="PX85" s="563"/>
      <c r="PY85" s="563"/>
      <c r="PZ85" s="563"/>
      <c r="QA85" s="563"/>
      <c r="QB85" s="563"/>
      <c r="QC85" s="563"/>
      <c r="QD85" s="563"/>
      <c r="QE85" s="563"/>
      <c r="QF85" s="563"/>
      <c r="QG85" s="563"/>
      <c r="QH85" s="563"/>
      <c r="QI85" s="563"/>
      <c r="QJ85" s="563"/>
      <c r="QK85" s="563"/>
      <c r="QL85" s="563"/>
      <c r="QM85" s="563"/>
      <c r="QN85" s="563"/>
      <c r="QO85" s="563"/>
      <c r="QP85" s="563"/>
      <c r="QQ85" s="563"/>
      <c r="QR85" s="563"/>
      <c r="QS85" s="563"/>
      <c r="QT85" s="563"/>
      <c r="QU85" s="563"/>
      <c r="QV85" s="563"/>
      <c r="QW85" s="563"/>
      <c r="QX85" s="563"/>
      <c r="QY85" s="563"/>
      <c r="QZ85" s="563"/>
      <c r="RA85" s="563"/>
      <c r="RB85" s="563"/>
      <c r="RC85" s="563"/>
      <c r="RD85" s="563"/>
      <c r="RE85" s="563"/>
      <c r="RF85" s="563"/>
      <c r="RG85" s="563"/>
      <c r="RH85" s="563"/>
      <c r="RI85" s="563"/>
      <c r="RJ85" s="563"/>
      <c r="RK85" s="563"/>
      <c r="RL85" s="563"/>
      <c r="RM85" s="563"/>
      <c r="RN85" s="563"/>
      <c r="RO85" s="563"/>
      <c r="RP85" s="563"/>
      <c r="RQ85" s="563"/>
      <c r="RR85" s="563"/>
      <c r="RS85" s="563"/>
      <c r="RT85" s="563"/>
      <c r="RU85" s="563"/>
      <c r="RV85" s="563"/>
      <c r="RW85" s="563"/>
      <c r="RX85" s="563"/>
      <c r="RY85" s="563"/>
      <c r="RZ85" s="563"/>
      <c r="SA85" s="563"/>
      <c r="SB85" s="563"/>
      <c r="SC85" s="563"/>
      <c r="SD85" s="563"/>
      <c r="SE85" s="563"/>
      <c r="SF85" s="563"/>
      <c r="SG85" s="563"/>
      <c r="SH85" s="563"/>
      <c r="SI85" s="563"/>
      <c r="SJ85" s="563"/>
      <c r="SK85" s="563"/>
      <c r="SL85" s="563"/>
      <c r="SM85" s="563"/>
      <c r="SN85" s="563"/>
      <c r="SO85" s="563"/>
      <c r="SP85" s="563"/>
      <c r="SQ85" s="563"/>
      <c r="SR85" s="563"/>
      <c r="SS85" s="563"/>
      <c r="ST85" s="563"/>
      <c r="SU85" s="563"/>
      <c r="SV85" s="563"/>
      <c r="SW85" s="563"/>
      <c r="SX85" s="563"/>
      <c r="SY85" s="563"/>
      <c r="SZ85" s="563"/>
      <c r="TA85" s="563"/>
      <c r="TB85" s="563"/>
      <c r="TC85" s="563"/>
      <c r="TD85" s="563"/>
      <c r="TE85" s="563"/>
      <c r="TF85" s="563"/>
      <c r="TG85" s="563"/>
      <c r="TH85" s="563"/>
      <c r="TI85" s="563"/>
      <c r="TJ85" s="563"/>
      <c r="TK85" s="563"/>
      <c r="TL85" s="563"/>
      <c r="TM85" s="563"/>
      <c r="TN85" s="563"/>
      <c r="TO85" s="563"/>
      <c r="TP85" s="563"/>
      <c r="TQ85" s="563"/>
      <c r="TR85" s="563"/>
      <c r="TS85" s="563"/>
      <c r="TT85" s="563"/>
      <c r="TU85" s="563"/>
      <c r="TV85" s="563"/>
      <c r="TW85" s="563"/>
      <c r="TX85" s="563"/>
      <c r="TY85" s="563"/>
      <c r="TZ85" s="563"/>
      <c r="UA85" s="563"/>
      <c r="UB85" s="563"/>
      <c r="UC85" s="563"/>
      <c r="UD85" s="563"/>
      <c r="UE85" s="563"/>
      <c r="UF85" s="563"/>
      <c r="UG85" s="563"/>
      <c r="UH85" s="563"/>
      <c r="UI85" s="563"/>
      <c r="UJ85" s="563"/>
      <c r="UK85" s="563"/>
      <c r="UL85" s="563"/>
      <c r="UM85" s="563"/>
      <c r="UN85" s="563"/>
      <c r="UO85" s="563"/>
      <c r="UP85" s="563"/>
      <c r="UQ85" s="563"/>
      <c r="UR85" s="563"/>
      <c r="US85" s="563"/>
      <c r="UT85" s="563"/>
      <c r="UU85" s="563"/>
      <c r="UV85" s="563"/>
      <c r="UW85" s="563"/>
      <c r="UX85" s="563"/>
      <c r="UY85" s="563"/>
      <c r="UZ85" s="563"/>
      <c r="VA85" s="563"/>
      <c r="VB85" s="563"/>
      <c r="VC85" s="563"/>
      <c r="VD85" s="563"/>
      <c r="VE85" s="563"/>
      <c r="VF85" s="563"/>
      <c r="VG85" s="563"/>
      <c r="VH85" s="563"/>
      <c r="VI85" s="563"/>
      <c r="VJ85" s="563"/>
      <c r="VK85" s="563"/>
      <c r="VL85" s="563"/>
      <c r="VM85" s="563"/>
      <c r="VN85" s="563"/>
      <c r="VO85" s="563"/>
      <c r="VP85" s="563"/>
      <c r="VQ85" s="563"/>
      <c r="VR85" s="563"/>
      <c r="VS85" s="563"/>
      <c r="VT85" s="563"/>
      <c r="VU85" s="563"/>
      <c r="VV85" s="563"/>
      <c r="VW85" s="563"/>
      <c r="VX85" s="563"/>
      <c r="VY85" s="563"/>
      <c r="VZ85" s="563"/>
      <c r="WA85" s="563"/>
      <c r="WB85" s="563"/>
      <c r="WC85" s="563"/>
      <c r="WD85" s="563"/>
      <c r="WE85" s="563"/>
      <c r="WF85" s="563"/>
      <c r="WG85" s="563"/>
      <c r="WH85" s="563"/>
      <c r="WI85" s="563"/>
      <c r="WJ85" s="563"/>
      <c r="WK85" s="563"/>
      <c r="WL85" s="563"/>
      <c r="WM85" s="563"/>
      <c r="WN85" s="563"/>
      <c r="WO85" s="563"/>
      <c r="WP85" s="563"/>
      <c r="WQ85" s="563"/>
      <c r="WR85" s="563"/>
      <c r="WS85" s="563"/>
      <c r="WT85" s="563"/>
      <c r="WU85" s="563"/>
      <c r="WV85" s="563"/>
      <c r="WW85" s="563"/>
      <c r="WX85" s="563"/>
      <c r="WY85" s="563"/>
      <c r="WZ85" s="563"/>
      <c r="XA85" s="563"/>
      <c r="XB85" s="563"/>
      <c r="XC85" s="563"/>
      <c r="XD85" s="563"/>
      <c r="XE85" s="563"/>
      <c r="XF85" s="563"/>
      <c r="XG85" s="563"/>
      <c r="XH85" s="563"/>
      <c r="XI85" s="563"/>
      <c r="XJ85" s="563"/>
      <c r="XK85" s="563"/>
      <c r="XL85" s="563"/>
      <c r="XM85" s="563"/>
      <c r="XN85" s="563"/>
      <c r="XO85" s="563"/>
      <c r="XP85" s="563"/>
      <c r="XQ85" s="563"/>
      <c r="XR85" s="563"/>
      <c r="XS85" s="563"/>
      <c r="XT85" s="563"/>
      <c r="XU85" s="563"/>
      <c r="XV85" s="563"/>
      <c r="XW85" s="563"/>
      <c r="XX85" s="563"/>
      <c r="XY85" s="563"/>
      <c r="XZ85" s="563"/>
      <c r="YA85" s="563"/>
      <c r="YB85" s="563"/>
      <c r="YC85" s="563"/>
      <c r="YD85" s="563"/>
      <c r="YE85" s="563"/>
      <c r="YF85" s="563"/>
      <c r="YG85" s="563"/>
      <c r="YH85" s="563"/>
      <c r="YI85" s="563"/>
      <c r="YJ85" s="563"/>
      <c r="YK85" s="563"/>
      <c r="YL85" s="563"/>
      <c r="YM85" s="563"/>
      <c r="YN85" s="563"/>
      <c r="YO85" s="563"/>
      <c r="YP85" s="563"/>
      <c r="YQ85" s="563"/>
      <c r="YR85" s="563"/>
      <c r="YS85" s="563"/>
      <c r="YT85" s="563"/>
      <c r="YU85" s="563"/>
      <c r="YV85" s="563"/>
      <c r="YW85" s="563"/>
      <c r="YX85" s="563"/>
      <c r="YY85" s="563"/>
      <c r="YZ85" s="563"/>
      <c r="ZA85" s="563"/>
      <c r="ZB85" s="563"/>
      <c r="ZC85" s="563"/>
      <c r="ZD85" s="563"/>
      <c r="ZE85" s="563"/>
      <c r="ZF85" s="563"/>
      <c r="ZG85" s="563"/>
      <c r="ZH85" s="563"/>
      <c r="ZI85" s="563"/>
      <c r="ZJ85" s="563"/>
      <c r="ZK85" s="563"/>
      <c r="ZL85" s="563"/>
      <c r="ZM85" s="563"/>
      <c r="ZN85" s="563"/>
      <c r="ZO85" s="563"/>
      <c r="ZP85" s="563"/>
      <c r="ZQ85" s="563"/>
      <c r="ZR85" s="563"/>
      <c r="ZS85" s="563"/>
      <c r="ZT85" s="563"/>
      <c r="ZU85" s="563"/>
      <c r="ZV85" s="563"/>
      <c r="ZW85" s="563"/>
      <c r="ZX85" s="563"/>
      <c r="ZY85" s="563"/>
      <c r="ZZ85" s="563"/>
      <c r="AAA85" s="563"/>
      <c r="AAB85" s="563"/>
      <c r="AAC85" s="563"/>
      <c r="AAD85" s="563"/>
      <c r="AAE85" s="563"/>
      <c r="AAF85" s="563"/>
      <c r="AAG85" s="563"/>
      <c r="AAH85" s="563"/>
      <c r="AAI85" s="563"/>
      <c r="AAJ85" s="563"/>
      <c r="AAK85" s="563"/>
      <c r="AAL85" s="563"/>
      <c r="AAM85" s="563"/>
      <c r="AAN85" s="563"/>
      <c r="AAO85" s="563"/>
      <c r="AAP85" s="563"/>
      <c r="AAQ85" s="563"/>
      <c r="AAR85" s="563"/>
      <c r="AAS85" s="563"/>
      <c r="AAT85" s="563"/>
      <c r="AAU85" s="563"/>
      <c r="AAV85" s="563"/>
      <c r="AAW85" s="563"/>
      <c r="AAX85" s="563"/>
      <c r="AAY85" s="563"/>
      <c r="AAZ85" s="563"/>
      <c r="ABA85" s="563"/>
      <c r="ABB85" s="563"/>
      <c r="ABC85" s="563"/>
      <c r="ABD85" s="563"/>
      <c r="ABE85" s="563"/>
      <c r="ABF85" s="563"/>
      <c r="ABG85" s="563"/>
      <c r="ABH85" s="563"/>
      <c r="ABI85" s="563"/>
      <c r="ABJ85" s="563"/>
      <c r="ABK85" s="563"/>
      <c r="ABL85" s="563"/>
      <c r="ABM85" s="563"/>
      <c r="ABN85" s="563"/>
      <c r="ABO85" s="563"/>
      <c r="ABP85" s="563"/>
      <c r="ABQ85" s="563"/>
      <c r="ABR85" s="563"/>
      <c r="ABS85" s="563"/>
      <c r="ABT85" s="563"/>
      <c r="ABU85" s="563"/>
      <c r="ABV85" s="563"/>
      <c r="ABW85" s="563"/>
      <c r="ABX85" s="563"/>
      <c r="ABY85" s="563"/>
      <c r="ABZ85" s="563"/>
      <c r="ACA85" s="563"/>
      <c r="ACB85" s="563"/>
      <c r="ACC85" s="563"/>
      <c r="ACD85" s="563"/>
      <c r="ACE85" s="563"/>
      <c r="ACF85" s="563"/>
      <c r="ACG85" s="563"/>
      <c r="ACH85" s="563"/>
      <c r="ACI85" s="563"/>
      <c r="ACJ85" s="563"/>
      <c r="ACK85" s="563"/>
      <c r="ACL85" s="563"/>
      <c r="ACM85" s="563"/>
      <c r="ACN85" s="563"/>
      <c r="ACO85" s="563"/>
      <c r="ACP85" s="563"/>
      <c r="ACQ85" s="563"/>
      <c r="ACR85" s="563"/>
      <c r="ACS85" s="563"/>
      <c r="ACT85" s="563"/>
      <c r="ACU85" s="563"/>
      <c r="ACV85" s="563"/>
      <c r="ACW85" s="563"/>
      <c r="ACX85" s="563"/>
      <c r="ACY85" s="563"/>
      <c r="ACZ85" s="563"/>
      <c r="ADA85" s="563"/>
      <c r="ADB85" s="563"/>
      <c r="ADC85" s="563"/>
      <c r="ADD85" s="563"/>
      <c r="ADE85" s="563"/>
      <c r="ADF85" s="563"/>
      <c r="ADG85" s="563"/>
      <c r="ADH85" s="563"/>
      <c r="ADI85" s="563"/>
      <c r="ADJ85" s="563"/>
      <c r="ADK85" s="563"/>
      <c r="ADL85" s="563"/>
      <c r="ADM85" s="563"/>
      <c r="ADN85" s="563"/>
      <c r="ADO85" s="563"/>
      <c r="ADP85" s="563"/>
      <c r="ADQ85" s="563"/>
      <c r="ADR85" s="563"/>
      <c r="ADS85" s="563"/>
      <c r="ADT85" s="563"/>
      <c r="ADU85" s="563"/>
      <c r="ADV85" s="563"/>
      <c r="ADW85" s="563"/>
      <c r="ADX85" s="563"/>
      <c r="ADY85" s="563"/>
      <c r="ADZ85" s="563"/>
      <c r="AEA85" s="563"/>
      <c r="AEB85" s="563"/>
      <c r="AEC85" s="563"/>
      <c r="AED85" s="563"/>
      <c r="AEE85" s="563"/>
      <c r="AEF85" s="563"/>
      <c r="AEG85" s="563"/>
      <c r="AEH85" s="563"/>
      <c r="AEI85" s="563"/>
      <c r="AEJ85" s="563"/>
      <c r="AEK85" s="563"/>
      <c r="AEL85" s="563"/>
      <c r="AEM85" s="563"/>
      <c r="AEN85" s="563"/>
      <c r="AEO85" s="563"/>
      <c r="AEP85" s="563"/>
      <c r="AEQ85" s="563"/>
      <c r="AER85" s="563"/>
      <c r="AES85" s="563"/>
      <c r="AET85" s="563"/>
      <c r="AEU85" s="563"/>
      <c r="AEV85" s="563"/>
      <c r="AEW85" s="563"/>
      <c r="AEX85" s="563"/>
      <c r="AEY85" s="563"/>
      <c r="AEZ85" s="563"/>
      <c r="AFA85" s="563"/>
      <c r="AFB85" s="563"/>
      <c r="AFC85" s="563"/>
      <c r="AFD85" s="563"/>
      <c r="AFE85" s="563"/>
      <c r="AFF85" s="563"/>
      <c r="AFG85" s="563"/>
      <c r="AFH85" s="563"/>
      <c r="AFI85" s="563"/>
      <c r="AFJ85" s="563"/>
      <c r="AFK85" s="563"/>
      <c r="AFL85" s="563"/>
      <c r="AFM85" s="563"/>
      <c r="AFN85" s="563"/>
      <c r="AFO85" s="563"/>
      <c r="AFP85" s="563"/>
      <c r="AFQ85" s="563"/>
      <c r="AFR85" s="563"/>
      <c r="AFS85" s="563"/>
      <c r="AFT85" s="563"/>
      <c r="AFU85" s="563"/>
      <c r="AFV85" s="563"/>
      <c r="AFW85" s="563"/>
      <c r="AFX85" s="563"/>
      <c r="AFY85" s="563"/>
      <c r="AFZ85" s="563"/>
      <c r="AGA85" s="563"/>
      <c r="AGB85" s="563"/>
      <c r="AGC85" s="563"/>
      <c r="AGD85" s="563"/>
      <c r="AGE85" s="563"/>
      <c r="AGF85" s="563"/>
      <c r="AGG85" s="563"/>
      <c r="AGH85" s="563"/>
      <c r="AGI85" s="563"/>
      <c r="AGJ85" s="563"/>
      <c r="AGK85" s="563"/>
      <c r="AGL85" s="563"/>
      <c r="AGM85" s="563"/>
      <c r="AGN85" s="563"/>
      <c r="AGO85" s="563"/>
      <c r="AGP85" s="563"/>
      <c r="AGQ85" s="563"/>
      <c r="AGR85" s="563"/>
      <c r="AGS85" s="563"/>
      <c r="AGT85" s="563"/>
      <c r="AGU85" s="563"/>
      <c r="AGV85" s="563"/>
      <c r="AGW85" s="563"/>
      <c r="AGX85" s="563"/>
      <c r="AGY85" s="563"/>
      <c r="AGZ85" s="563"/>
      <c r="AHA85" s="563"/>
      <c r="AHB85" s="563"/>
      <c r="AHC85" s="563"/>
      <c r="AHD85" s="563"/>
      <c r="AHE85" s="563"/>
      <c r="AHF85" s="563"/>
      <c r="AHG85" s="563"/>
      <c r="AHH85" s="563"/>
      <c r="AHI85" s="563"/>
      <c r="AHJ85" s="563"/>
      <c r="AHK85" s="563"/>
      <c r="AHL85" s="563"/>
      <c r="AHM85" s="563"/>
      <c r="AHN85" s="563"/>
      <c r="AHO85" s="563"/>
      <c r="AHP85" s="563"/>
      <c r="AHQ85" s="563"/>
      <c r="AHR85" s="563"/>
      <c r="AHS85" s="563"/>
      <c r="AHT85" s="563"/>
      <c r="AHU85" s="563"/>
      <c r="AHV85" s="563"/>
      <c r="AHW85" s="563"/>
      <c r="AHX85" s="563"/>
      <c r="AHY85" s="563"/>
      <c r="AHZ85" s="563"/>
      <c r="AIA85" s="563"/>
      <c r="AIB85" s="563"/>
      <c r="AIC85" s="563"/>
      <c r="AID85" s="563"/>
      <c r="AIE85" s="563"/>
      <c r="AIF85" s="563"/>
      <c r="AIG85" s="563"/>
      <c r="AIH85" s="563"/>
      <c r="AII85" s="563"/>
      <c r="AIJ85" s="563"/>
      <c r="AIK85" s="563"/>
      <c r="AIL85" s="563"/>
      <c r="AIM85" s="563"/>
      <c r="AIN85" s="563"/>
      <c r="AIO85" s="563"/>
      <c r="AIP85" s="563"/>
      <c r="AIQ85" s="563"/>
      <c r="AIR85" s="563"/>
      <c r="AIS85" s="563"/>
      <c r="AIT85" s="563"/>
      <c r="AIU85" s="563"/>
      <c r="AIV85" s="563"/>
      <c r="AIW85" s="563"/>
      <c r="AIX85" s="563"/>
      <c r="AIY85" s="563"/>
      <c r="AIZ85" s="563"/>
      <c r="AJA85" s="563"/>
      <c r="AJB85" s="563"/>
      <c r="AJC85" s="563"/>
      <c r="AJD85" s="563"/>
      <c r="AJE85" s="563"/>
      <c r="AJF85" s="563"/>
      <c r="AJG85" s="563"/>
      <c r="AJH85" s="563"/>
      <c r="AJI85" s="563"/>
      <c r="AJJ85" s="563"/>
      <c r="AJK85" s="563"/>
      <c r="AJL85" s="563"/>
      <c r="AJM85" s="563"/>
      <c r="AJN85" s="563"/>
      <c r="AJO85" s="563"/>
      <c r="AJP85" s="563"/>
      <c r="AJQ85" s="563"/>
      <c r="AJR85" s="563"/>
      <c r="AJS85" s="563"/>
      <c r="AJT85" s="563"/>
      <c r="AJU85" s="563"/>
      <c r="AJV85" s="563"/>
      <c r="AJW85" s="563"/>
      <c r="AJX85" s="563"/>
      <c r="AJY85" s="563"/>
      <c r="AJZ85" s="563"/>
      <c r="AKA85" s="563"/>
      <c r="AKB85" s="563"/>
      <c r="AKC85" s="563"/>
      <c r="AKD85" s="563"/>
      <c r="AKE85" s="563"/>
      <c r="AKF85" s="563"/>
      <c r="AKG85" s="563"/>
      <c r="AKH85" s="563"/>
      <c r="AKI85" s="563"/>
      <c r="AKJ85" s="563"/>
      <c r="AKK85" s="563"/>
      <c r="AKL85" s="563"/>
      <c r="AKM85" s="563"/>
    </row>
    <row r="86" s="998" customFormat="1" ht="11.5" spans="1:975">
      <c r="A86" s="1049">
        <v>46238</v>
      </c>
      <c r="B86" s="1160" t="s">
        <v>374</v>
      </c>
      <c r="C86" s="1174"/>
      <c r="D86" s="724" t="s">
        <v>375</v>
      </c>
      <c r="E86" s="1138"/>
      <c r="F86" s="1166"/>
      <c r="G86" s="1166">
        <v>2000</v>
      </c>
      <c r="H86" s="1140">
        <v>1</v>
      </c>
      <c r="I86" s="1122">
        <f t="shared" si="46"/>
        <v>2000</v>
      </c>
      <c r="J86" s="1168">
        <v>6000007</v>
      </c>
      <c r="K86" s="1169"/>
      <c r="L86" s="1054">
        <f t="shared" si="47"/>
        <v>2000</v>
      </c>
      <c r="M86" s="1054">
        <f t="shared" si="48"/>
        <v>2000</v>
      </c>
      <c r="N86" s="1174"/>
      <c r="O86" s="1174"/>
      <c r="P86" s="1174"/>
      <c r="Q86" s="1169"/>
      <c r="R86" s="1169"/>
      <c r="S86" s="1138" t="s">
        <v>87</v>
      </c>
      <c r="T86" s="1166">
        <v>20</v>
      </c>
      <c r="U86" s="1175"/>
      <c r="V86" s="1175"/>
      <c r="W86" s="1178"/>
      <c r="X86" s="1045" t="str">
        <f t="shared" si="40"/>
        <v/>
      </c>
      <c r="Y86" s="1046" t="str">
        <f t="shared" si="41"/>
        <v/>
      </c>
      <c r="Z86" s="1047" t="str">
        <f t="shared" si="42"/>
        <v/>
      </c>
      <c r="AA86" s="1047" t="str">
        <f t="shared" si="43"/>
        <v/>
      </c>
      <c r="AB86" s="1047" t="str">
        <f t="shared" si="44"/>
        <v/>
      </c>
      <c r="AC86" s="1048">
        <f t="shared" si="45"/>
        <v>2000</v>
      </c>
      <c r="AD86" s="563"/>
      <c r="AE86" s="563"/>
      <c r="AF86" s="563"/>
      <c r="AG86" s="563"/>
      <c r="AH86" s="563"/>
      <c r="AI86" s="563"/>
      <c r="AJ86" s="563"/>
      <c r="AK86" s="563"/>
      <c r="AL86" s="563"/>
      <c r="AM86" s="563"/>
      <c r="AN86" s="563"/>
      <c r="AO86" s="563"/>
      <c r="AP86" s="563"/>
      <c r="AQ86" s="563"/>
      <c r="AR86" s="563"/>
      <c r="AS86" s="563"/>
      <c r="AT86" s="563"/>
      <c r="AU86" s="563"/>
      <c r="AV86" s="563"/>
      <c r="AW86" s="563"/>
      <c r="AX86" s="563"/>
      <c r="AY86" s="563"/>
      <c r="AZ86" s="563"/>
      <c r="BA86" s="563"/>
      <c r="BB86" s="563"/>
      <c r="BC86" s="563"/>
      <c r="BD86" s="563"/>
      <c r="BE86" s="563"/>
      <c r="BF86" s="563"/>
      <c r="BG86" s="563"/>
      <c r="BH86" s="563"/>
      <c r="BI86" s="563"/>
      <c r="BJ86" s="563"/>
      <c r="BK86" s="563"/>
      <c r="BL86" s="563"/>
      <c r="BM86" s="563"/>
      <c r="BN86" s="563"/>
      <c r="BO86" s="563"/>
      <c r="BP86" s="563"/>
      <c r="BQ86" s="563"/>
      <c r="BR86" s="563"/>
      <c r="BS86" s="563"/>
      <c r="BT86" s="563"/>
      <c r="BU86" s="563"/>
      <c r="BV86" s="563"/>
      <c r="BW86" s="563"/>
      <c r="BX86" s="563"/>
      <c r="BY86" s="563"/>
      <c r="BZ86" s="563"/>
      <c r="CA86" s="563"/>
      <c r="CB86" s="563"/>
      <c r="CC86" s="563"/>
      <c r="CD86" s="563"/>
      <c r="CE86" s="563"/>
      <c r="CF86" s="563"/>
      <c r="CG86" s="563"/>
      <c r="CH86" s="563"/>
      <c r="CI86" s="563"/>
      <c r="CJ86" s="563"/>
      <c r="CK86" s="563"/>
      <c r="CL86" s="563"/>
      <c r="CM86" s="563"/>
      <c r="CN86" s="563"/>
      <c r="CO86" s="563"/>
      <c r="CP86" s="563"/>
      <c r="CQ86" s="563"/>
      <c r="CR86" s="563"/>
      <c r="CS86" s="563"/>
      <c r="CT86" s="563"/>
      <c r="CU86" s="563"/>
      <c r="CV86" s="563"/>
      <c r="CW86" s="563"/>
      <c r="CX86" s="563"/>
      <c r="CY86" s="563"/>
      <c r="CZ86" s="563"/>
      <c r="DA86" s="563"/>
      <c r="DB86" s="563"/>
      <c r="DC86" s="563"/>
      <c r="DD86" s="563"/>
      <c r="DE86" s="563"/>
      <c r="DF86" s="563"/>
      <c r="DG86" s="563"/>
      <c r="DH86" s="563"/>
      <c r="DI86" s="563"/>
      <c r="DJ86" s="563"/>
      <c r="DK86" s="563"/>
      <c r="DL86" s="563"/>
      <c r="DM86" s="563"/>
      <c r="DN86" s="563"/>
      <c r="DO86" s="563"/>
      <c r="DP86" s="563"/>
      <c r="DQ86" s="563"/>
      <c r="DR86" s="563"/>
      <c r="DS86" s="563"/>
      <c r="DT86" s="563"/>
      <c r="DU86" s="563"/>
      <c r="DV86" s="563"/>
      <c r="DW86" s="563"/>
      <c r="DX86" s="563"/>
      <c r="DY86" s="563"/>
      <c r="DZ86" s="563"/>
      <c r="EA86" s="563"/>
      <c r="EB86" s="563"/>
      <c r="EC86" s="563"/>
      <c r="ED86" s="563"/>
      <c r="EE86" s="563"/>
      <c r="EF86" s="563"/>
      <c r="EG86" s="563"/>
      <c r="EH86" s="563"/>
      <c r="EI86" s="563"/>
      <c r="EJ86" s="563"/>
      <c r="EK86" s="563"/>
      <c r="EL86" s="563"/>
      <c r="EM86" s="563"/>
      <c r="EN86" s="563"/>
      <c r="EO86" s="563"/>
      <c r="EP86" s="563"/>
      <c r="EQ86" s="563"/>
      <c r="ER86" s="563"/>
      <c r="ES86" s="563"/>
      <c r="ET86" s="563"/>
      <c r="EU86" s="563"/>
      <c r="EV86" s="563"/>
      <c r="EW86" s="563"/>
      <c r="EX86" s="563"/>
      <c r="EY86" s="563"/>
      <c r="EZ86" s="563"/>
      <c r="FA86" s="563"/>
      <c r="FB86" s="563"/>
      <c r="FC86" s="563"/>
      <c r="FD86" s="563"/>
      <c r="FE86" s="563"/>
      <c r="FF86" s="563"/>
      <c r="FG86" s="563"/>
      <c r="FH86" s="563"/>
      <c r="FI86" s="563"/>
      <c r="FJ86" s="563"/>
      <c r="FK86" s="563"/>
      <c r="FL86" s="563"/>
      <c r="FM86" s="563"/>
      <c r="FN86" s="563"/>
      <c r="FO86" s="563"/>
      <c r="FP86" s="563"/>
      <c r="FQ86" s="563"/>
      <c r="FR86" s="563"/>
      <c r="FS86" s="563"/>
      <c r="FT86" s="563"/>
      <c r="FU86" s="563"/>
      <c r="FV86" s="563"/>
      <c r="FW86" s="563"/>
      <c r="FX86" s="563"/>
      <c r="FY86" s="563"/>
      <c r="FZ86" s="563"/>
      <c r="GA86" s="563"/>
      <c r="GB86" s="563"/>
      <c r="GC86" s="563"/>
      <c r="GD86" s="563"/>
      <c r="GE86" s="563"/>
      <c r="GF86" s="563"/>
      <c r="GG86" s="563"/>
      <c r="GH86" s="563"/>
      <c r="GI86" s="563"/>
      <c r="GJ86" s="563"/>
      <c r="GK86" s="563"/>
      <c r="GL86" s="563"/>
      <c r="GM86" s="563"/>
      <c r="GN86" s="563"/>
      <c r="GO86" s="563"/>
      <c r="GP86" s="563"/>
      <c r="GQ86" s="563"/>
      <c r="GR86" s="563"/>
      <c r="GS86" s="563"/>
      <c r="GT86" s="563"/>
      <c r="GU86" s="563"/>
      <c r="GV86" s="563"/>
      <c r="GW86" s="563"/>
      <c r="GX86" s="563"/>
      <c r="GY86" s="563"/>
      <c r="GZ86" s="563"/>
      <c r="HA86" s="563"/>
      <c r="HB86" s="563"/>
      <c r="HC86" s="563"/>
      <c r="HD86" s="563"/>
      <c r="HE86" s="563"/>
      <c r="HF86" s="563"/>
      <c r="HG86" s="563"/>
      <c r="HH86" s="563"/>
      <c r="HI86" s="563"/>
      <c r="HJ86" s="563"/>
      <c r="HK86" s="563"/>
      <c r="HL86" s="563"/>
      <c r="HM86" s="563"/>
      <c r="HN86" s="563"/>
      <c r="HO86" s="563"/>
      <c r="HP86" s="563"/>
      <c r="HQ86" s="563"/>
      <c r="HR86" s="563"/>
      <c r="HS86" s="563"/>
      <c r="HT86" s="563"/>
      <c r="HU86" s="563"/>
      <c r="HV86" s="563"/>
      <c r="HW86" s="563"/>
      <c r="HX86" s="563"/>
      <c r="HY86" s="563"/>
      <c r="HZ86" s="563"/>
      <c r="IA86" s="563"/>
      <c r="IB86" s="563"/>
      <c r="IC86" s="563"/>
      <c r="ID86" s="563"/>
      <c r="IE86" s="563"/>
      <c r="IF86" s="563"/>
      <c r="IG86" s="563"/>
      <c r="IH86" s="563"/>
      <c r="II86" s="563"/>
      <c r="IJ86" s="563"/>
      <c r="IK86" s="563"/>
      <c r="IL86" s="563"/>
      <c r="IM86" s="563"/>
      <c r="IN86" s="563"/>
      <c r="IO86" s="563"/>
      <c r="IP86" s="563"/>
      <c r="IQ86" s="563"/>
      <c r="IR86" s="563"/>
      <c r="IS86" s="563"/>
      <c r="IT86" s="563"/>
      <c r="IU86" s="563"/>
      <c r="IV86" s="563"/>
      <c r="IW86" s="563"/>
      <c r="IX86" s="563"/>
      <c r="IY86" s="563"/>
      <c r="IZ86" s="563"/>
      <c r="JA86" s="563"/>
      <c r="JB86" s="563"/>
      <c r="JC86" s="563"/>
      <c r="JD86" s="563"/>
      <c r="JE86" s="563"/>
      <c r="JF86" s="563"/>
      <c r="JG86" s="563"/>
      <c r="JH86" s="563"/>
      <c r="JI86" s="563"/>
      <c r="JJ86" s="563"/>
      <c r="JK86" s="563"/>
      <c r="JL86" s="563"/>
      <c r="JM86" s="563"/>
      <c r="JN86" s="563"/>
      <c r="JO86" s="563"/>
      <c r="JP86" s="563"/>
      <c r="JQ86" s="563"/>
      <c r="JR86" s="563"/>
      <c r="JS86" s="563"/>
      <c r="JT86" s="563"/>
      <c r="JU86" s="563"/>
      <c r="JV86" s="563"/>
      <c r="JW86" s="563"/>
      <c r="JX86" s="563"/>
      <c r="JY86" s="563"/>
      <c r="JZ86" s="563"/>
      <c r="KA86" s="563"/>
      <c r="KB86" s="563"/>
      <c r="KC86" s="563"/>
      <c r="KD86" s="563"/>
      <c r="KE86" s="563"/>
      <c r="KF86" s="563"/>
      <c r="KG86" s="563"/>
      <c r="KH86" s="563"/>
      <c r="KI86" s="563"/>
      <c r="KJ86" s="563"/>
      <c r="KK86" s="563"/>
      <c r="KL86" s="563"/>
      <c r="KM86" s="563"/>
      <c r="KN86" s="563"/>
      <c r="KO86" s="563"/>
      <c r="KP86" s="563"/>
      <c r="KQ86" s="563"/>
      <c r="KR86" s="563"/>
      <c r="KS86" s="563"/>
      <c r="KT86" s="563"/>
      <c r="KU86" s="563"/>
      <c r="KV86" s="563"/>
      <c r="KW86" s="563"/>
      <c r="KX86" s="563"/>
      <c r="KY86" s="563"/>
      <c r="KZ86" s="563"/>
      <c r="LA86" s="563"/>
      <c r="LB86" s="563"/>
      <c r="LC86" s="563"/>
      <c r="LD86" s="563"/>
      <c r="LE86" s="563"/>
      <c r="LF86" s="563"/>
      <c r="LG86" s="563"/>
      <c r="LH86" s="563"/>
      <c r="LI86" s="563"/>
      <c r="LJ86" s="563"/>
      <c r="LK86" s="563"/>
      <c r="LL86" s="563"/>
      <c r="LM86" s="563"/>
      <c r="LN86" s="563"/>
      <c r="LO86" s="563"/>
      <c r="LP86" s="563"/>
      <c r="LQ86" s="563"/>
      <c r="LR86" s="563"/>
      <c r="LS86" s="563"/>
      <c r="LT86" s="563"/>
      <c r="LU86" s="563"/>
      <c r="LV86" s="563"/>
      <c r="LW86" s="563"/>
      <c r="LX86" s="563"/>
      <c r="LY86" s="563"/>
      <c r="LZ86" s="563"/>
      <c r="MA86" s="563"/>
      <c r="MB86" s="563"/>
      <c r="MC86" s="563"/>
      <c r="MD86" s="563"/>
      <c r="ME86" s="563"/>
      <c r="MF86" s="563"/>
      <c r="MG86" s="563"/>
      <c r="MH86" s="563"/>
      <c r="MI86" s="563"/>
      <c r="MJ86" s="563"/>
      <c r="MK86" s="563"/>
      <c r="ML86" s="563"/>
      <c r="MM86" s="563"/>
      <c r="MN86" s="563"/>
      <c r="MO86" s="563"/>
      <c r="MP86" s="563"/>
      <c r="MQ86" s="563"/>
      <c r="MR86" s="563"/>
      <c r="MS86" s="563"/>
      <c r="MT86" s="563"/>
      <c r="MU86" s="563"/>
      <c r="MV86" s="563"/>
      <c r="MW86" s="563"/>
      <c r="MX86" s="563"/>
      <c r="MY86" s="563"/>
      <c r="MZ86" s="563"/>
      <c r="NA86" s="563"/>
      <c r="NB86" s="563"/>
      <c r="NC86" s="563"/>
      <c r="ND86" s="563"/>
      <c r="NE86" s="563"/>
      <c r="NF86" s="563"/>
      <c r="NG86" s="563"/>
      <c r="NH86" s="563"/>
      <c r="NI86" s="563"/>
      <c r="NJ86" s="563"/>
      <c r="NK86" s="563"/>
      <c r="NL86" s="563"/>
      <c r="NM86" s="563"/>
      <c r="NN86" s="563"/>
      <c r="NO86" s="563"/>
      <c r="NP86" s="563"/>
      <c r="NQ86" s="563"/>
      <c r="NR86" s="563"/>
      <c r="NS86" s="563"/>
      <c r="NT86" s="563"/>
      <c r="NU86" s="563"/>
      <c r="NV86" s="563"/>
      <c r="NW86" s="563"/>
      <c r="NX86" s="563"/>
      <c r="NY86" s="563"/>
      <c r="NZ86" s="563"/>
      <c r="OA86" s="563"/>
      <c r="OB86" s="563"/>
      <c r="OC86" s="563"/>
      <c r="OD86" s="563"/>
      <c r="OE86" s="563"/>
      <c r="OF86" s="563"/>
      <c r="OG86" s="563"/>
      <c r="OH86" s="563"/>
      <c r="OI86" s="563"/>
      <c r="OJ86" s="563"/>
      <c r="OK86" s="563"/>
      <c r="OL86" s="563"/>
      <c r="OM86" s="563"/>
      <c r="ON86" s="563"/>
      <c r="OO86" s="563"/>
      <c r="OP86" s="563"/>
      <c r="OQ86" s="563"/>
      <c r="OR86" s="563"/>
      <c r="OS86" s="563"/>
      <c r="OT86" s="563"/>
      <c r="OU86" s="563"/>
      <c r="OV86" s="563"/>
      <c r="OW86" s="563"/>
      <c r="OX86" s="563"/>
      <c r="OY86" s="563"/>
      <c r="OZ86" s="563"/>
      <c r="PA86" s="563"/>
      <c r="PB86" s="563"/>
      <c r="PC86" s="563"/>
      <c r="PD86" s="563"/>
      <c r="PE86" s="563"/>
      <c r="PF86" s="563"/>
      <c r="PG86" s="563"/>
      <c r="PH86" s="563"/>
      <c r="PI86" s="563"/>
      <c r="PJ86" s="563"/>
      <c r="PK86" s="563"/>
      <c r="PL86" s="563"/>
      <c r="PM86" s="563"/>
      <c r="PN86" s="563"/>
      <c r="PO86" s="563"/>
      <c r="PP86" s="563"/>
      <c r="PQ86" s="563"/>
      <c r="PR86" s="563"/>
      <c r="PS86" s="563"/>
      <c r="PT86" s="563"/>
      <c r="PU86" s="563"/>
      <c r="PV86" s="563"/>
      <c r="PW86" s="563"/>
      <c r="PX86" s="563"/>
      <c r="PY86" s="563"/>
      <c r="PZ86" s="563"/>
      <c r="QA86" s="563"/>
      <c r="QB86" s="563"/>
      <c r="QC86" s="563"/>
      <c r="QD86" s="563"/>
      <c r="QE86" s="563"/>
      <c r="QF86" s="563"/>
      <c r="QG86" s="563"/>
      <c r="QH86" s="563"/>
      <c r="QI86" s="563"/>
      <c r="QJ86" s="563"/>
      <c r="QK86" s="563"/>
      <c r="QL86" s="563"/>
      <c r="QM86" s="563"/>
      <c r="QN86" s="563"/>
      <c r="QO86" s="563"/>
      <c r="QP86" s="563"/>
      <c r="QQ86" s="563"/>
      <c r="QR86" s="563"/>
      <c r="QS86" s="563"/>
      <c r="QT86" s="563"/>
      <c r="QU86" s="563"/>
      <c r="QV86" s="563"/>
      <c r="QW86" s="563"/>
      <c r="QX86" s="563"/>
      <c r="QY86" s="563"/>
      <c r="QZ86" s="563"/>
      <c r="RA86" s="563"/>
      <c r="RB86" s="563"/>
      <c r="RC86" s="563"/>
      <c r="RD86" s="563"/>
      <c r="RE86" s="563"/>
      <c r="RF86" s="563"/>
      <c r="RG86" s="563"/>
      <c r="RH86" s="563"/>
      <c r="RI86" s="563"/>
      <c r="RJ86" s="563"/>
      <c r="RK86" s="563"/>
      <c r="RL86" s="563"/>
      <c r="RM86" s="563"/>
      <c r="RN86" s="563"/>
      <c r="RO86" s="563"/>
      <c r="RP86" s="563"/>
      <c r="RQ86" s="563"/>
      <c r="RR86" s="563"/>
      <c r="RS86" s="563"/>
      <c r="RT86" s="563"/>
      <c r="RU86" s="563"/>
      <c r="RV86" s="563"/>
      <c r="RW86" s="563"/>
      <c r="RX86" s="563"/>
      <c r="RY86" s="563"/>
      <c r="RZ86" s="563"/>
      <c r="SA86" s="563"/>
      <c r="SB86" s="563"/>
      <c r="SC86" s="563"/>
      <c r="SD86" s="563"/>
      <c r="SE86" s="563"/>
      <c r="SF86" s="563"/>
      <c r="SG86" s="563"/>
      <c r="SH86" s="563"/>
      <c r="SI86" s="563"/>
      <c r="SJ86" s="563"/>
      <c r="SK86" s="563"/>
      <c r="SL86" s="563"/>
      <c r="SM86" s="563"/>
      <c r="SN86" s="563"/>
      <c r="SO86" s="563"/>
      <c r="SP86" s="563"/>
      <c r="SQ86" s="563"/>
      <c r="SR86" s="563"/>
      <c r="SS86" s="563"/>
      <c r="ST86" s="563"/>
      <c r="SU86" s="563"/>
      <c r="SV86" s="563"/>
      <c r="SW86" s="563"/>
      <c r="SX86" s="563"/>
      <c r="SY86" s="563"/>
      <c r="SZ86" s="563"/>
      <c r="TA86" s="563"/>
      <c r="TB86" s="563"/>
      <c r="TC86" s="563"/>
      <c r="TD86" s="563"/>
      <c r="TE86" s="563"/>
      <c r="TF86" s="563"/>
      <c r="TG86" s="563"/>
      <c r="TH86" s="563"/>
      <c r="TI86" s="563"/>
      <c r="TJ86" s="563"/>
      <c r="TK86" s="563"/>
      <c r="TL86" s="563"/>
      <c r="TM86" s="563"/>
      <c r="TN86" s="563"/>
      <c r="TO86" s="563"/>
      <c r="TP86" s="563"/>
      <c r="TQ86" s="563"/>
      <c r="TR86" s="563"/>
      <c r="TS86" s="563"/>
      <c r="TT86" s="563"/>
      <c r="TU86" s="563"/>
      <c r="TV86" s="563"/>
      <c r="TW86" s="563"/>
      <c r="TX86" s="563"/>
      <c r="TY86" s="563"/>
      <c r="TZ86" s="563"/>
      <c r="UA86" s="563"/>
      <c r="UB86" s="563"/>
      <c r="UC86" s="563"/>
      <c r="UD86" s="563"/>
      <c r="UE86" s="563"/>
      <c r="UF86" s="563"/>
      <c r="UG86" s="563"/>
      <c r="UH86" s="563"/>
      <c r="UI86" s="563"/>
      <c r="UJ86" s="563"/>
      <c r="UK86" s="563"/>
      <c r="UL86" s="563"/>
      <c r="UM86" s="563"/>
      <c r="UN86" s="563"/>
      <c r="UO86" s="563"/>
      <c r="UP86" s="563"/>
      <c r="UQ86" s="563"/>
      <c r="UR86" s="563"/>
      <c r="US86" s="563"/>
      <c r="UT86" s="563"/>
      <c r="UU86" s="563"/>
      <c r="UV86" s="563"/>
      <c r="UW86" s="563"/>
      <c r="UX86" s="563"/>
      <c r="UY86" s="563"/>
      <c r="UZ86" s="563"/>
      <c r="VA86" s="563"/>
      <c r="VB86" s="563"/>
      <c r="VC86" s="563"/>
      <c r="VD86" s="563"/>
      <c r="VE86" s="563"/>
      <c r="VF86" s="563"/>
      <c r="VG86" s="563"/>
      <c r="VH86" s="563"/>
      <c r="VI86" s="563"/>
      <c r="VJ86" s="563"/>
      <c r="VK86" s="563"/>
      <c r="VL86" s="563"/>
      <c r="VM86" s="563"/>
      <c r="VN86" s="563"/>
      <c r="VO86" s="563"/>
      <c r="VP86" s="563"/>
      <c r="VQ86" s="563"/>
      <c r="VR86" s="563"/>
      <c r="VS86" s="563"/>
      <c r="VT86" s="563"/>
      <c r="VU86" s="563"/>
      <c r="VV86" s="563"/>
      <c r="VW86" s="563"/>
      <c r="VX86" s="563"/>
      <c r="VY86" s="563"/>
      <c r="VZ86" s="563"/>
      <c r="WA86" s="563"/>
      <c r="WB86" s="563"/>
      <c r="WC86" s="563"/>
      <c r="WD86" s="563"/>
      <c r="WE86" s="563"/>
      <c r="WF86" s="563"/>
      <c r="WG86" s="563"/>
      <c r="WH86" s="563"/>
      <c r="WI86" s="563"/>
      <c r="WJ86" s="563"/>
      <c r="WK86" s="563"/>
      <c r="WL86" s="563"/>
      <c r="WM86" s="563"/>
      <c r="WN86" s="563"/>
      <c r="WO86" s="563"/>
      <c r="WP86" s="563"/>
      <c r="WQ86" s="563"/>
      <c r="WR86" s="563"/>
      <c r="WS86" s="563"/>
      <c r="WT86" s="563"/>
      <c r="WU86" s="563"/>
      <c r="WV86" s="563"/>
      <c r="WW86" s="563"/>
      <c r="WX86" s="563"/>
      <c r="WY86" s="563"/>
      <c r="WZ86" s="563"/>
      <c r="XA86" s="563"/>
      <c r="XB86" s="563"/>
      <c r="XC86" s="563"/>
      <c r="XD86" s="563"/>
      <c r="XE86" s="563"/>
      <c r="XF86" s="563"/>
      <c r="XG86" s="563"/>
      <c r="XH86" s="563"/>
      <c r="XI86" s="563"/>
      <c r="XJ86" s="563"/>
      <c r="XK86" s="563"/>
      <c r="XL86" s="563"/>
      <c r="XM86" s="563"/>
      <c r="XN86" s="563"/>
      <c r="XO86" s="563"/>
      <c r="XP86" s="563"/>
      <c r="XQ86" s="563"/>
      <c r="XR86" s="563"/>
      <c r="XS86" s="563"/>
      <c r="XT86" s="563"/>
      <c r="XU86" s="563"/>
      <c r="XV86" s="563"/>
      <c r="XW86" s="563"/>
      <c r="XX86" s="563"/>
      <c r="XY86" s="563"/>
      <c r="XZ86" s="563"/>
      <c r="YA86" s="563"/>
      <c r="YB86" s="563"/>
      <c r="YC86" s="563"/>
      <c r="YD86" s="563"/>
      <c r="YE86" s="563"/>
      <c r="YF86" s="563"/>
      <c r="YG86" s="563"/>
      <c r="YH86" s="563"/>
      <c r="YI86" s="563"/>
      <c r="YJ86" s="563"/>
      <c r="YK86" s="563"/>
      <c r="YL86" s="563"/>
      <c r="YM86" s="563"/>
      <c r="YN86" s="563"/>
      <c r="YO86" s="563"/>
      <c r="YP86" s="563"/>
      <c r="YQ86" s="563"/>
      <c r="YR86" s="563"/>
      <c r="YS86" s="563"/>
      <c r="YT86" s="563"/>
      <c r="YU86" s="563"/>
      <c r="YV86" s="563"/>
      <c r="YW86" s="563"/>
      <c r="YX86" s="563"/>
      <c r="YY86" s="563"/>
      <c r="YZ86" s="563"/>
      <c r="ZA86" s="563"/>
      <c r="ZB86" s="563"/>
      <c r="ZC86" s="563"/>
      <c r="ZD86" s="563"/>
      <c r="ZE86" s="563"/>
      <c r="ZF86" s="563"/>
      <c r="ZG86" s="563"/>
      <c r="ZH86" s="563"/>
      <c r="ZI86" s="563"/>
      <c r="ZJ86" s="563"/>
      <c r="ZK86" s="563"/>
      <c r="ZL86" s="563"/>
      <c r="ZM86" s="563"/>
      <c r="ZN86" s="563"/>
      <c r="ZO86" s="563"/>
      <c r="ZP86" s="563"/>
      <c r="ZQ86" s="563"/>
      <c r="ZR86" s="563"/>
      <c r="ZS86" s="563"/>
      <c r="ZT86" s="563"/>
      <c r="ZU86" s="563"/>
      <c r="ZV86" s="563"/>
      <c r="ZW86" s="563"/>
      <c r="ZX86" s="563"/>
      <c r="ZY86" s="563"/>
      <c r="ZZ86" s="563"/>
      <c r="AAA86" s="563"/>
      <c r="AAB86" s="563"/>
      <c r="AAC86" s="563"/>
      <c r="AAD86" s="563"/>
      <c r="AAE86" s="563"/>
      <c r="AAF86" s="563"/>
      <c r="AAG86" s="563"/>
      <c r="AAH86" s="563"/>
      <c r="AAI86" s="563"/>
      <c r="AAJ86" s="563"/>
      <c r="AAK86" s="563"/>
      <c r="AAL86" s="563"/>
      <c r="AAM86" s="563"/>
      <c r="AAN86" s="563"/>
      <c r="AAO86" s="563"/>
      <c r="AAP86" s="563"/>
      <c r="AAQ86" s="563"/>
      <c r="AAR86" s="563"/>
      <c r="AAS86" s="563"/>
      <c r="AAT86" s="563"/>
      <c r="AAU86" s="563"/>
      <c r="AAV86" s="563"/>
      <c r="AAW86" s="563"/>
      <c r="AAX86" s="563"/>
      <c r="AAY86" s="563"/>
      <c r="AAZ86" s="563"/>
      <c r="ABA86" s="563"/>
      <c r="ABB86" s="563"/>
      <c r="ABC86" s="563"/>
      <c r="ABD86" s="563"/>
      <c r="ABE86" s="563"/>
      <c r="ABF86" s="563"/>
      <c r="ABG86" s="563"/>
      <c r="ABH86" s="563"/>
      <c r="ABI86" s="563"/>
      <c r="ABJ86" s="563"/>
      <c r="ABK86" s="563"/>
      <c r="ABL86" s="563"/>
      <c r="ABM86" s="563"/>
      <c r="ABN86" s="563"/>
      <c r="ABO86" s="563"/>
      <c r="ABP86" s="563"/>
      <c r="ABQ86" s="563"/>
      <c r="ABR86" s="563"/>
      <c r="ABS86" s="563"/>
      <c r="ABT86" s="563"/>
      <c r="ABU86" s="563"/>
      <c r="ABV86" s="563"/>
      <c r="ABW86" s="563"/>
      <c r="ABX86" s="563"/>
      <c r="ABY86" s="563"/>
      <c r="ABZ86" s="563"/>
      <c r="ACA86" s="563"/>
      <c r="ACB86" s="563"/>
      <c r="ACC86" s="563"/>
      <c r="ACD86" s="563"/>
      <c r="ACE86" s="563"/>
      <c r="ACF86" s="563"/>
      <c r="ACG86" s="563"/>
      <c r="ACH86" s="563"/>
      <c r="ACI86" s="563"/>
      <c r="ACJ86" s="563"/>
      <c r="ACK86" s="563"/>
      <c r="ACL86" s="563"/>
      <c r="ACM86" s="563"/>
      <c r="ACN86" s="563"/>
      <c r="ACO86" s="563"/>
      <c r="ACP86" s="563"/>
      <c r="ACQ86" s="563"/>
      <c r="ACR86" s="563"/>
      <c r="ACS86" s="563"/>
      <c r="ACT86" s="563"/>
      <c r="ACU86" s="563"/>
      <c r="ACV86" s="563"/>
      <c r="ACW86" s="563"/>
      <c r="ACX86" s="563"/>
      <c r="ACY86" s="563"/>
      <c r="ACZ86" s="563"/>
      <c r="ADA86" s="563"/>
      <c r="ADB86" s="563"/>
      <c r="ADC86" s="563"/>
      <c r="ADD86" s="563"/>
      <c r="ADE86" s="563"/>
      <c r="ADF86" s="563"/>
      <c r="ADG86" s="563"/>
      <c r="ADH86" s="563"/>
      <c r="ADI86" s="563"/>
      <c r="ADJ86" s="563"/>
      <c r="ADK86" s="563"/>
      <c r="ADL86" s="563"/>
      <c r="ADM86" s="563"/>
      <c r="ADN86" s="563"/>
      <c r="ADO86" s="563"/>
      <c r="ADP86" s="563"/>
      <c r="ADQ86" s="563"/>
      <c r="ADR86" s="563"/>
      <c r="ADS86" s="563"/>
      <c r="ADT86" s="563"/>
      <c r="ADU86" s="563"/>
      <c r="ADV86" s="563"/>
      <c r="ADW86" s="563"/>
      <c r="ADX86" s="563"/>
      <c r="ADY86" s="563"/>
      <c r="ADZ86" s="563"/>
      <c r="AEA86" s="563"/>
      <c r="AEB86" s="563"/>
      <c r="AEC86" s="563"/>
      <c r="AED86" s="563"/>
      <c r="AEE86" s="563"/>
      <c r="AEF86" s="563"/>
      <c r="AEG86" s="563"/>
      <c r="AEH86" s="563"/>
      <c r="AEI86" s="563"/>
      <c r="AEJ86" s="563"/>
      <c r="AEK86" s="563"/>
      <c r="AEL86" s="563"/>
      <c r="AEM86" s="563"/>
      <c r="AEN86" s="563"/>
      <c r="AEO86" s="563"/>
      <c r="AEP86" s="563"/>
      <c r="AEQ86" s="563"/>
      <c r="AER86" s="563"/>
      <c r="AES86" s="563"/>
      <c r="AET86" s="563"/>
      <c r="AEU86" s="563"/>
      <c r="AEV86" s="563"/>
      <c r="AEW86" s="563"/>
      <c r="AEX86" s="563"/>
      <c r="AEY86" s="563"/>
      <c r="AEZ86" s="563"/>
      <c r="AFA86" s="563"/>
      <c r="AFB86" s="563"/>
      <c r="AFC86" s="563"/>
      <c r="AFD86" s="563"/>
      <c r="AFE86" s="563"/>
      <c r="AFF86" s="563"/>
      <c r="AFG86" s="563"/>
      <c r="AFH86" s="563"/>
      <c r="AFI86" s="563"/>
      <c r="AFJ86" s="563"/>
      <c r="AFK86" s="563"/>
      <c r="AFL86" s="563"/>
      <c r="AFM86" s="563"/>
      <c r="AFN86" s="563"/>
      <c r="AFO86" s="563"/>
      <c r="AFP86" s="563"/>
      <c r="AFQ86" s="563"/>
      <c r="AFR86" s="563"/>
      <c r="AFS86" s="563"/>
      <c r="AFT86" s="563"/>
      <c r="AFU86" s="563"/>
      <c r="AFV86" s="563"/>
      <c r="AFW86" s="563"/>
      <c r="AFX86" s="563"/>
      <c r="AFY86" s="563"/>
      <c r="AFZ86" s="563"/>
      <c r="AGA86" s="563"/>
      <c r="AGB86" s="563"/>
      <c r="AGC86" s="563"/>
      <c r="AGD86" s="563"/>
      <c r="AGE86" s="563"/>
      <c r="AGF86" s="563"/>
      <c r="AGG86" s="563"/>
      <c r="AGH86" s="563"/>
      <c r="AGI86" s="563"/>
      <c r="AGJ86" s="563"/>
      <c r="AGK86" s="563"/>
      <c r="AGL86" s="563"/>
      <c r="AGM86" s="563"/>
      <c r="AGN86" s="563"/>
      <c r="AGO86" s="563"/>
      <c r="AGP86" s="563"/>
      <c r="AGQ86" s="563"/>
      <c r="AGR86" s="563"/>
      <c r="AGS86" s="563"/>
      <c r="AGT86" s="563"/>
      <c r="AGU86" s="563"/>
      <c r="AGV86" s="563"/>
      <c r="AGW86" s="563"/>
      <c r="AGX86" s="563"/>
      <c r="AGY86" s="563"/>
      <c r="AGZ86" s="563"/>
      <c r="AHA86" s="563"/>
      <c r="AHB86" s="563"/>
      <c r="AHC86" s="563"/>
      <c r="AHD86" s="563"/>
      <c r="AHE86" s="563"/>
      <c r="AHF86" s="563"/>
      <c r="AHG86" s="563"/>
      <c r="AHH86" s="563"/>
      <c r="AHI86" s="563"/>
      <c r="AHJ86" s="563"/>
      <c r="AHK86" s="563"/>
      <c r="AHL86" s="563"/>
      <c r="AHM86" s="563"/>
      <c r="AHN86" s="563"/>
      <c r="AHO86" s="563"/>
      <c r="AHP86" s="563"/>
      <c r="AHQ86" s="563"/>
      <c r="AHR86" s="563"/>
      <c r="AHS86" s="563"/>
      <c r="AHT86" s="563"/>
      <c r="AHU86" s="563"/>
      <c r="AHV86" s="563"/>
      <c r="AHW86" s="563"/>
      <c r="AHX86" s="563"/>
      <c r="AHY86" s="563"/>
      <c r="AHZ86" s="563"/>
      <c r="AIA86" s="563"/>
      <c r="AIB86" s="563"/>
      <c r="AIC86" s="563"/>
      <c r="AID86" s="563"/>
      <c r="AIE86" s="563"/>
      <c r="AIF86" s="563"/>
      <c r="AIG86" s="563"/>
      <c r="AIH86" s="563"/>
      <c r="AII86" s="563"/>
      <c r="AIJ86" s="563"/>
      <c r="AIK86" s="563"/>
      <c r="AIL86" s="563"/>
      <c r="AIM86" s="563"/>
      <c r="AIN86" s="563"/>
      <c r="AIO86" s="563"/>
      <c r="AIP86" s="563"/>
      <c r="AIQ86" s="563"/>
      <c r="AIR86" s="563"/>
      <c r="AIS86" s="563"/>
      <c r="AIT86" s="563"/>
      <c r="AIU86" s="563"/>
      <c r="AIV86" s="563"/>
      <c r="AIW86" s="563"/>
      <c r="AIX86" s="563"/>
      <c r="AIY86" s="563"/>
      <c r="AIZ86" s="563"/>
      <c r="AJA86" s="563"/>
      <c r="AJB86" s="563"/>
      <c r="AJC86" s="563"/>
      <c r="AJD86" s="563"/>
      <c r="AJE86" s="563"/>
      <c r="AJF86" s="563"/>
      <c r="AJG86" s="563"/>
      <c r="AJH86" s="563"/>
      <c r="AJI86" s="563"/>
      <c r="AJJ86" s="563"/>
      <c r="AJK86" s="563"/>
      <c r="AJL86" s="563"/>
      <c r="AJM86" s="563"/>
      <c r="AJN86" s="563"/>
      <c r="AJO86" s="563"/>
      <c r="AJP86" s="563"/>
      <c r="AJQ86" s="563"/>
      <c r="AJR86" s="563"/>
      <c r="AJS86" s="563"/>
      <c r="AJT86" s="563"/>
      <c r="AJU86" s="563"/>
      <c r="AJV86" s="563"/>
      <c r="AJW86" s="563"/>
      <c r="AJX86" s="563"/>
      <c r="AJY86" s="563"/>
      <c r="AJZ86" s="563"/>
      <c r="AKA86" s="563"/>
      <c r="AKB86" s="563"/>
      <c r="AKC86" s="563"/>
      <c r="AKD86" s="563"/>
      <c r="AKE86" s="563"/>
      <c r="AKF86" s="563"/>
      <c r="AKG86" s="563"/>
      <c r="AKH86" s="563"/>
      <c r="AKI86" s="563"/>
      <c r="AKJ86" s="563"/>
      <c r="AKK86" s="563"/>
      <c r="AKL86" s="563"/>
      <c r="AKM86" s="563"/>
    </row>
    <row r="87" s="998" customFormat="1" ht="11.5" spans="1:975">
      <c r="A87" s="1179">
        <v>46238</v>
      </c>
      <c r="B87" s="1180" t="s">
        <v>376</v>
      </c>
      <c r="C87" s="1181"/>
      <c r="D87" s="1180" t="s">
        <v>79</v>
      </c>
      <c r="E87" s="1182"/>
      <c r="F87" s="1183"/>
      <c r="G87" s="1183">
        <v>50000</v>
      </c>
      <c r="H87" s="1184">
        <v>1</v>
      </c>
      <c r="I87" s="1185">
        <v>50000</v>
      </c>
      <c r="J87" s="1186">
        <v>6000007</v>
      </c>
      <c r="K87" s="1187"/>
      <c r="L87" s="1188">
        <v>50000</v>
      </c>
      <c r="M87" s="1188">
        <v>50000</v>
      </c>
      <c r="N87" s="1181"/>
      <c r="O87" s="1181"/>
      <c r="P87" s="1181"/>
      <c r="Q87" s="1187"/>
      <c r="R87" s="1187"/>
      <c r="S87" s="1182"/>
      <c r="T87" s="1183">
        <v>200</v>
      </c>
      <c r="U87" s="1189"/>
      <c r="V87" s="1189"/>
      <c r="W87" s="1190"/>
      <c r="X87" s="1191" t="str">
        <f t="shared" si="40"/>
        <v/>
      </c>
      <c r="Y87" s="1192" t="str">
        <f t="shared" si="41"/>
        <v/>
      </c>
      <c r="Z87" s="1193" t="str">
        <f t="shared" si="42"/>
        <v/>
      </c>
      <c r="AA87" s="1193" t="str">
        <f t="shared" si="43"/>
        <v/>
      </c>
      <c r="AB87" s="1193" t="str">
        <f t="shared" si="44"/>
        <v/>
      </c>
      <c r="AC87" s="1194" t="str">
        <f t="shared" si="45"/>
        <v/>
      </c>
      <c r="AD87" s="563"/>
      <c r="AE87" s="563"/>
      <c r="AF87" s="563"/>
      <c r="AG87" s="563"/>
      <c r="AH87" s="563"/>
      <c r="AI87" s="563"/>
      <c r="AJ87" s="563"/>
      <c r="AK87" s="563"/>
      <c r="AL87" s="563"/>
      <c r="AM87" s="563"/>
      <c r="AN87" s="563"/>
      <c r="AO87" s="563"/>
      <c r="AP87" s="563"/>
      <c r="AQ87" s="563"/>
      <c r="AR87" s="563"/>
      <c r="AS87" s="563"/>
      <c r="AT87" s="563"/>
      <c r="AU87" s="563"/>
      <c r="AV87" s="563"/>
      <c r="AW87" s="563"/>
      <c r="AX87" s="563"/>
      <c r="AY87" s="563"/>
      <c r="AZ87" s="563"/>
      <c r="BA87" s="563"/>
      <c r="BB87" s="563"/>
      <c r="BC87" s="563"/>
      <c r="BD87" s="563"/>
      <c r="BE87" s="563"/>
      <c r="BF87" s="563"/>
      <c r="BG87" s="563"/>
      <c r="BH87" s="563"/>
      <c r="BI87" s="563"/>
      <c r="BJ87" s="563"/>
      <c r="BK87" s="563"/>
      <c r="BL87" s="563"/>
      <c r="BM87" s="563"/>
      <c r="BN87" s="563"/>
      <c r="BO87" s="563"/>
      <c r="BP87" s="563"/>
      <c r="BQ87" s="563"/>
      <c r="BR87" s="563"/>
      <c r="BS87" s="563"/>
      <c r="BT87" s="563"/>
      <c r="BU87" s="563"/>
      <c r="BV87" s="563"/>
      <c r="BW87" s="563"/>
      <c r="BX87" s="563"/>
      <c r="BY87" s="563"/>
      <c r="BZ87" s="563"/>
      <c r="CA87" s="563"/>
      <c r="CB87" s="563"/>
      <c r="CC87" s="563"/>
      <c r="CD87" s="563"/>
      <c r="CE87" s="563"/>
      <c r="CF87" s="563"/>
      <c r="CG87" s="563"/>
      <c r="CH87" s="563"/>
      <c r="CI87" s="563"/>
      <c r="CJ87" s="563"/>
      <c r="CK87" s="563"/>
      <c r="CL87" s="563"/>
      <c r="CM87" s="563"/>
      <c r="CN87" s="563"/>
      <c r="CO87" s="563"/>
      <c r="CP87" s="563"/>
      <c r="CQ87" s="563"/>
      <c r="CR87" s="563"/>
      <c r="CS87" s="563"/>
      <c r="CT87" s="563"/>
      <c r="CU87" s="563"/>
      <c r="CV87" s="563"/>
      <c r="CW87" s="563"/>
      <c r="CX87" s="563"/>
      <c r="CY87" s="563"/>
      <c r="CZ87" s="563"/>
      <c r="DA87" s="563"/>
      <c r="DB87" s="563"/>
      <c r="DC87" s="563"/>
      <c r="DD87" s="563"/>
      <c r="DE87" s="563"/>
      <c r="DF87" s="563"/>
      <c r="DG87" s="563"/>
      <c r="DH87" s="563"/>
      <c r="DI87" s="563"/>
      <c r="DJ87" s="563"/>
      <c r="DK87" s="563"/>
      <c r="DL87" s="563"/>
      <c r="DM87" s="563"/>
      <c r="DN87" s="563"/>
      <c r="DO87" s="563"/>
      <c r="DP87" s="563"/>
      <c r="DQ87" s="563"/>
      <c r="DR87" s="563"/>
      <c r="DS87" s="563"/>
      <c r="DT87" s="563"/>
      <c r="DU87" s="563"/>
      <c r="DV87" s="563"/>
      <c r="DW87" s="563"/>
      <c r="DX87" s="563"/>
      <c r="DY87" s="563"/>
      <c r="DZ87" s="563"/>
      <c r="EA87" s="563"/>
      <c r="EB87" s="563"/>
      <c r="EC87" s="563"/>
      <c r="ED87" s="563"/>
      <c r="EE87" s="563"/>
      <c r="EF87" s="563"/>
      <c r="EG87" s="563"/>
      <c r="EH87" s="563"/>
      <c r="EI87" s="563"/>
      <c r="EJ87" s="563"/>
      <c r="EK87" s="563"/>
      <c r="EL87" s="563"/>
      <c r="EM87" s="563"/>
      <c r="EN87" s="563"/>
      <c r="EO87" s="563"/>
      <c r="EP87" s="563"/>
      <c r="EQ87" s="563"/>
      <c r="ER87" s="563"/>
      <c r="ES87" s="563"/>
      <c r="ET87" s="563"/>
      <c r="EU87" s="563"/>
      <c r="EV87" s="563"/>
      <c r="EW87" s="563"/>
      <c r="EX87" s="563"/>
      <c r="EY87" s="563"/>
      <c r="EZ87" s="563"/>
      <c r="FA87" s="563"/>
      <c r="FB87" s="563"/>
      <c r="FC87" s="563"/>
      <c r="FD87" s="563"/>
      <c r="FE87" s="563"/>
      <c r="FF87" s="563"/>
      <c r="FG87" s="563"/>
      <c r="FH87" s="563"/>
      <c r="FI87" s="563"/>
      <c r="FJ87" s="563"/>
      <c r="FK87" s="563"/>
      <c r="FL87" s="563"/>
      <c r="FM87" s="563"/>
      <c r="FN87" s="563"/>
      <c r="FO87" s="563"/>
      <c r="FP87" s="563"/>
      <c r="FQ87" s="563"/>
      <c r="FR87" s="563"/>
      <c r="FS87" s="563"/>
      <c r="FT87" s="563"/>
      <c r="FU87" s="563"/>
      <c r="FV87" s="563"/>
      <c r="FW87" s="563"/>
      <c r="FX87" s="563"/>
      <c r="FY87" s="563"/>
      <c r="FZ87" s="563"/>
      <c r="GA87" s="563"/>
      <c r="GB87" s="563"/>
      <c r="GC87" s="563"/>
      <c r="GD87" s="563"/>
      <c r="GE87" s="563"/>
      <c r="GF87" s="563"/>
      <c r="GG87" s="563"/>
      <c r="GH87" s="563"/>
      <c r="GI87" s="563"/>
      <c r="GJ87" s="563"/>
      <c r="GK87" s="563"/>
      <c r="GL87" s="563"/>
      <c r="GM87" s="563"/>
      <c r="GN87" s="563"/>
      <c r="GO87" s="563"/>
      <c r="GP87" s="563"/>
      <c r="GQ87" s="563"/>
      <c r="GR87" s="563"/>
      <c r="GS87" s="563"/>
      <c r="GT87" s="563"/>
      <c r="GU87" s="563"/>
      <c r="GV87" s="563"/>
      <c r="GW87" s="563"/>
      <c r="GX87" s="563"/>
      <c r="GY87" s="563"/>
      <c r="GZ87" s="563"/>
      <c r="HA87" s="563"/>
      <c r="HB87" s="563"/>
      <c r="HC87" s="563"/>
      <c r="HD87" s="563"/>
      <c r="HE87" s="563"/>
      <c r="HF87" s="563"/>
      <c r="HG87" s="563"/>
      <c r="HH87" s="563"/>
      <c r="HI87" s="563"/>
      <c r="HJ87" s="563"/>
      <c r="HK87" s="563"/>
      <c r="HL87" s="563"/>
      <c r="HM87" s="563"/>
      <c r="HN87" s="563"/>
      <c r="HO87" s="563"/>
      <c r="HP87" s="563"/>
      <c r="HQ87" s="563"/>
      <c r="HR87" s="563"/>
      <c r="HS87" s="563"/>
      <c r="HT87" s="563"/>
      <c r="HU87" s="563"/>
      <c r="HV87" s="563"/>
      <c r="HW87" s="563"/>
      <c r="HX87" s="563"/>
      <c r="HY87" s="563"/>
      <c r="HZ87" s="563"/>
      <c r="IA87" s="563"/>
      <c r="IB87" s="563"/>
      <c r="IC87" s="563"/>
      <c r="ID87" s="563"/>
      <c r="IE87" s="563"/>
      <c r="IF87" s="563"/>
      <c r="IG87" s="563"/>
      <c r="IH87" s="563"/>
      <c r="II87" s="563"/>
      <c r="IJ87" s="563"/>
      <c r="IK87" s="563"/>
      <c r="IL87" s="563"/>
      <c r="IM87" s="563"/>
      <c r="IN87" s="563"/>
      <c r="IO87" s="563"/>
      <c r="IP87" s="563"/>
      <c r="IQ87" s="563"/>
      <c r="IR87" s="563"/>
      <c r="IS87" s="563"/>
      <c r="IT87" s="563"/>
      <c r="IU87" s="563"/>
      <c r="IV87" s="563"/>
      <c r="IW87" s="563"/>
      <c r="IX87" s="563"/>
      <c r="IY87" s="563"/>
      <c r="IZ87" s="563"/>
      <c r="JA87" s="563"/>
      <c r="JB87" s="563"/>
      <c r="JC87" s="563"/>
      <c r="JD87" s="563"/>
      <c r="JE87" s="563"/>
      <c r="JF87" s="563"/>
      <c r="JG87" s="563"/>
      <c r="JH87" s="563"/>
      <c r="JI87" s="563"/>
      <c r="JJ87" s="563"/>
      <c r="JK87" s="563"/>
      <c r="JL87" s="563"/>
      <c r="JM87" s="563"/>
      <c r="JN87" s="563"/>
      <c r="JO87" s="563"/>
      <c r="JP87" s="563"/>
      <c r="JQ87" s="563"/>
      <c r="JR87" s="563"/>
      <c r="JS87" s="563"/>
      <c r="JT87" s="563"/>
      <c r="JU87" s="563"/>
      <c r="JV87" s="563"/>
      <c r="JW87" s="563"/>
      <c r="JX87" s="563"/>
      <c r="JY87" s="563"/>
      <c r="JZ87" s="563"/>
      <c r="KA87" s="563"/>
      <c r="KB87" s="563"/>
      <c r="KC87" s="563"/>
      <c r="KD87" s="563"/>
      <c r="KE87" s="563"/>
      <c r="KF87" s="563"/>
      <c r="KG87" s="563"/>
      <c r="KH87" s="563"/>
      <c r="KI87" s="563"/>
      <c r="KJ87" s="563"/>
      <c r="KK87" s="563"/>
      <c r="KL87" s="563"/>
      <c r="KM87" s="563"/>
      <c r="KN87" s="563"/>
      <c r="KO87" s="563"/>
      <c r="KP87" s="563"/>
      <c r="KQ87" s="563"/>
      <c r="KR87" s="563"/>
      <c r="KS87" s="563"/>
      <c r="KT87" s="563"/>
      <c r="KU87" s="563"/>
      <c r="KV87" s="563"/>
      <c r="KW87" s="563"/>
      <c r="KX87" s="563"/>
      <c r="KY87" s="563"/>
      <c r="KZ87" s="563"/>
      <c r="LA87" s="563"/>
      <c r="LB87" s="563"/>
      <c r="LC87" s="563"/>
      <c r="LD87" s="563"/>
      <c r="LE87" s="563"/>
      <c r="LF87" s="563"/>
      <c r="LG87" s="563"/>
      <c r="LH87" s="563"/>
      <c r="LI87" s="563"/>
      <c r="LJ87" s="563"/>
      <c r="LK87" s="563"/>
      <c r="LL87" s="563"/>
      <c r="LM87" s="563"/>
      <c r="LN87" s="563"/>
      <c r="LO87" s="563"/>
      <c r="LP87" s="563"/>
      <c r="LQ87" s="563"/>
      <c r="LR87" s="563"/>
      <c r="LS87" s="563"/>
      <c r="LT87" s="563"/>
      <c r="LU87" s="563"/>
      <c r="LV87" s="563"/>
      <c r="LW87" s="563"/>
      <c r="LX87" s="563"/>
      <c r="LY87" s="563"/>
      <c r="LZ87" s="563"/>
      <c r="MA87" s="563"/>
      <c r="MB87" s="563"/>
      <c r="MC87" s="563"/>
      <c r="MD87" s="563"/>
      <c r="ME87" s="563"/>
      <c r="MF87" s="563"/>
      <c r="MG87" s="563"/>
      <c r="MH87" s="563"/>
      <c r="MI87" s="563"/>
      <c r="MJ87" s="563"/>
      <c r="MK87" s="563"/>
      <c r="ML87" s="563"/>
      <c r="MM87" s="563"/>
      <c r="MN87" s="563"/>
      <c r="MO87" s="563"/>
      <c r="MP87" s="563"/>
      <c r="MQ87" s="563"/>
      <c r="MR87" s="563"/>
      <c r="MS87" s="563"/>
      <c r="MT87" s="563"/>
      <c r="MU87" s="563"/>
      <c r="MV87" s="563"/>
      <c r="MW87" s="563"/>
      <c r="MX87" s="563"/>
      <c r="MY87" s="563"/>
      <c r="MZ87" s="563"/>
      <c r="NA87" s="563"/>
      <c r="NB87" s="563"/>
      <c r="NC87" s="563"/>
      <c r="ND87" s="563"/>
      <c r="NE87" s="563"/>
      <c r="NF87" s="563"/>
      <c r="NG87" s="563"/>
      <c r="NH87" s="563"/>
      <c r="NI87" s="563"/>
      <c r="NJ87" s="563"/>
      <c r="NK87" s="563"/>
      <c r="NL87" s="563"/>
      <c r="NM87" s="563"/>
      <c r="NN87" s="563"/>
      <c r="NO87" s="563"/>
      <c r="NP87" s="563"/>
      <c r="NQ87" s="563"/>
      <c r="NR87" s="563"/>
      <c r="NS87" s="563"/>
      <c r="NT87" s="563"/>
      <c r="NU87" s="563"/>
      <c r="NV87" s="563"/>
      <c r="NW87" s="563"/>
      <c r="NX87" s="563"/>
      <c r="NY87" s="563"/>
      <c r="NZ87" s="563"/>
      <c r="OA87" s="563"/>
      <c r="OB87" s="563"/>
      <c r="OC87" s="563"/>
      <c r="OD87" s="563"/>
      <c r="OE87" s="563"/>
      <c r="OF87" s="563"/>
      <c r="OG87" s="563"/>
      <c r="OH87" s="563"/>
      <c r="OI87" s="563"/>
      <c r="OJ87" s="563"/>
      <c r="OK87" s="563"/>
      <c r="OL87" s="563"/>
      <c r="OM87" s="563"/>
      <c r="ON87" s="563"/>
      <c r="OO87" s="563"/>
      <c r="OP87" s="563"/>
      <c r="OQ87" s="563"/>
      <c r="OR87" s="563"/>
      <c r="OS87" s="563"/>
      <c r="OT87" s="563"/>
      <c r="OU87" s="563"/>
      <c r="OV87" s="563"/>
      <c r="OW87" s="563"/>
      <c r="OX87" s="563"/>
      <c r="OY87" s="563"/>
      <c r="OZ87" s="563"/>
      <c r="PA87" s="563"/>
      <c r="PB87" s="563"/>
      <c r="PC87" s="563"/>
      <c r="PD87" s="563"/>
      <c r="PE87" s="563"/>
      <c r="PF87" s="563"/>
      <c r="PG87" s="563"/>
      <c r="PH87" s="563"/>
      <c r="PI87" s="563"/>
      <c r="PJ87" s="563"/>
      <c r="PK87" s="563"/>
      <c r="PL87" s="563"/>
      <c r="PM87" s="563"/>
      <c r="PN87" s="563"/>
      <c r="PO87" s="563"/>
      <c r="PP87" s="563"/>
      <c r="PQ87" s="563"/>
      <c r="PR87" s="563"/>
      <c r="PS87" s="563"/>
      <c r="PT87" s="563"/>
      <c r="PU87" s="563"/>
      <c r="PV87" s="563"/>
      <c r="PW87" s="563"/>
      <c r="PX87" s="563"/>
      <c r="PY87" s="563"/>
      <c r="PZ87" s="563"/>
      <c r="QA87" s="563"/>
      <c r="QB87" s="563"/>
      <c r="QC87" s="563"/>
      <c r="QD87" s="563"/>
      <c r="QE87" s="563"/>
      <c r="QF87" s="563"/>
      <c r="QG87" s="563"/>
      <c r="QH87" s="563"/>
      <c r="QI87" s="563"/>
      <c r="QJ87" s="563"/>
      <c r="QK87" s="563"/>
      <c r="QL87" s="563"/>
      <c r="QM87" s="563"/>
      <c r="QN87" s="563"/>
      <c r="QO87" s="563"/>
      <c r="QP87" s="563"/>
      <c r="QQ87" s="563"/>
      <c r="QR87" s="563"/>
      <c r="QS87" s="563"/>
      <c r="QT87" s="563"/>
      <c r="QU87" s="563"/>
      <c r="QV87" s="563"/>
      <c r="QW87" s="563"/>
      <c r="QX87" s="563"/>
      <c r="QY87" s="563"/>
      <c r="QZ87" s="563"/>
      <c r="RA87" s="563"/>
      <c r="RB87" s="563"/>
      <c r="RC87" s="563"/>
      <c r="RD87" s="563"/>
      <c r="RE87" s="563"/>
      <c r="RF87" s="563"/>
      <c r="RG87" s="563"/>
      <c r="RH87" s="563"/>
      <c r="RI87" s="563"/>
      <c r="RJ87" s="563"/>
      <c r="RK87" s="563"/>
      <c r="RL87" s="563"/>
      <c r="RM87" s="563"/>
      <c r="RN87" s="563"/>
      <c r="RO87" s="563"/>
      <c r="RP87" s="563"/>
      <c r="RQ87" s="563"/>
      <c r="RR87" s="563"/>
      <c r="RS87" s="563"/>
      <c r="RT87" s="563"/>
      <c r="RU87" s="563"/>
      <c r="RV87" s="563"/>
      <c r="RW87" s="563"/>
      <c r="RX87" s="563"/>
      <c r="RY87" s="563"/>
      <c r="RZ87" s="563"/>
      <c r="SA87" s="563"/>
      <c r="SB87" s="563"/>
      <c r="SC87" s="563"/>
      <c r="SD87" s="563"/>
      <c r="SE87" s="563"/>
      <c r="SF87" s="563"/>
      <c r="SG87" s="563"/>
      <c r="SH87" s="563"/>
      <c r="SI87" s="563"/>
      <c r="SJ87" s="563"/>
      <c r="SK87" s="563"/>
      <c r="SL87" s="563"/>
      <c r="SM87" s="563"/>
      <c r="SN87" s="563"/>
      <c r="SO87" s="563"/>
      <c r="SP87" s="563"/>
      <c r="SQ87" s="563"/>
      <c r="SR87" s="563"/>
      <c r="SS87" s="563"/>
      <c r="ST87" s="563"/>
      <c r="SU87" s="563"/>
      <c r="SV87" s="563"/>
      <c r="SW87" s="563"/>
      <c r="SX87" s="563"/>
      <c r="SY87" s="563"/>
      <c r="SZ87" s="563"/>
      <c r="TA87" s="563"/>
      <c r="TB87" s="563"/>
      <c r="TC87" s="563"/>
      <c r="TD87" s="563"/>
      <c r="TE87" s="563"/>
      <c r="TF87" s="563"/>
      <c r="TG87" s="563"/>
      <c r="TH87" s="563"/>
      <c r="TI87" s="563"/>
      <c r="TJ87" s="563"/>
      <c r="TK87" s="563"/>
      <c r="TL87" s="563"/>
      <c r="TM87" s="563"/>
      <c r="TN87" s="563"/>
      <c r="TO87" s="563"/>
      <c r="TP87" s="563"/>
      <c r="TQ87" s="563"/>
      <c r="TR87" s="563"/>
      <c r="TS87" s="563"/>
      <c r="TT87" s="563"/>
      <c r="TU87" s="563"/>
      <c r="TV87" s="563"/>
      <c r="TW87" s="563"/>
      <c r="TX87" s="563"/>
      <c r="TY87" s="563"/>
      <c r="TZ87" s="563"/>
      <c r="UA87" s="563"/>
      <c r="UB87" s="563"/>
      <c r="UC87" s="563"/>
      <c r="UD87" s="563"/>
      <c r="UE87" s="563"/>
      <c r="UF87" s="563"/>
      <c r="UG87" s="563"/>
      <c r="UH87" s="563"/>
      <c r="UI87" s="563"/>
      <c r="UJ87" s="563"/>
      <c r="UK87" s="563"/>
      <c r="UL87" s="563"/>
      <c r="UM87" s="563"/>
      <c r="UN87" s="563"/>
      <c r="UO87" s="563"/>
      <c r="UP87" s="563"/>
      <c r="UQ87" s="563"/>
      <c r="UR87" s="563"/>
      <c r="US87" s="563"/>
      <c r="UT87" s="563"/>
      <c r="UU87" s="563"/>
      <c r="UV87" s="563"/>
      <c r="UW87" s="563"/>
      <c r="UX87" s="563"/>
      <c r="UY87" s="563"/>
      <c r="UZ87" s="563"/>
      <c r="VA87" s="563"/>
      <c r="VB87" s="563"/>
      <c r="VC87" s="563"/>
      <c r="VD87" s="563"/>
      <c r="VE87" s="563"/>
      <c r="VF87" s="563"/>
      <c r="VG87" s="563"/>
      <c r="VH87" s="563"/>
      <c r="VI87" s="563"/>
      <c r="VJ87" s="563"/>
      <c r="VK87" s="563"/>
      <c r="VL87" s="563"/>
      <c r="VM87" s="563"/>
      <c r="VN87" s="563"/>
      <c r="VO87" s="563"/>
      <c r="VP87" s="563"/>
      <c r="VQ87" s="563"/>
      <c r="VR87" s="563"/>
      <c r="VS87" s="563"/>
      <c r="VT87" s="563"/>
      <c r="VU87" s="563"/>
      <c r="VV87" s="563"/>
      <c r="VW87" s="563"/>
      <c r="VX87" s="563"/>
      <c r="VY87" s="563"/>
      <c r="VZ87" s="563"/>
      <c r="WA87" s="563"/>
      <c r="WB87" s="563"/>
      <c r="WC87" s="563"/>
      <c r="WD87" s="563"/>
      <c r="WE87" s="563"/>
      <c r="WF87" s="563"/>
      <c r="WG87" s="563"/>
      <c r="WH87" s="563"/>
      <c r="WI87" s="563"/>
      <c r="WJ87" s="563"/>
      <c r="WK87" s="563"/>
      <c r="WL87" s="563"/>
      <c r="WM87" s="563"/>
      <c r="WN87" s="563"/>
      <c r="WO87" s="563"/>
      <c r="WP87" s="563"/>
      <c r="WQ87" s="563"/>
      <c r="WR87" s="563"/>
      <c r="WS87" s="563"/>
      <c r="WT87" s="563"/>
      <c r="WU87" s="563"/>
      <c r="WV87" s="563"/>
      <c r="WW87" s="563"/>
      <c r="WX87" s="563"/>
      <c r="WY87" s="563"/>
      <c r="WZ87" s="563"/>
      <c r="XA87" s="563"/>
      <c r="XB87" s="563"/>
      <c r="XC87" s="563"/>
      <c r="XD87" s="563"/>
      <c r="XE87" s="563"/>
      <c r="XF87" s="563"/>
      <c r="XG87" s="563"/>
      <c r="XH87" s="563"/>
      <c r="XI87" s="563"/>
      <c r="XJ87" s="563"/>
      <c r="XK87" s="563"/>
      <c r="XL87" s="563"/>
      <c r="XM87" s="563"/>
      <c r="XN87" s="563"/>
      <c r="XO87" s="563"/>
      <c r="XP87" s="563"/>
      <c r="XQ87" s="563"/>
      <c r="XR87" s="563"/>
      <c r="XS87" s="563"/>
      <c r="XT87" s="563"/>
      <c r="XU87" s="563"/>
      <c r="XV87" s="563"/>
      <c r="XW87" s="563"/>
      <c r="XX87" s="563"/>
      <c r="XY87" s="563"/>
      <c r="XZ87" s="563"/>
      <c r="YA87" s="563"/>
      <c r="YB87" s="563"/>
      <c r="YC87" s="563"/>
      <c r="YD87" s="563"/>
      <c r="YE87" s="563"/>
      <c r="YF87" s="563"/>
      <c r="YG87" s="563"/>
      <c r="YH87" s="563"/>
      <c r="YI87" s="563"/>
      <c r="YJ87" s="563"/>
      <c r="YK87" s="563"/>
      <c r="YL87" s="563"/>
      <c r="YM87" s="563"/>
      <c r="YN87" s="563"/>
      <c r="YO87" s="563"/>
      <c r="YP87" s="563"/>
      <c r="YQ87" s="563"/>
      <c r="YR87" s="563"/>
      <c r="YS87" s="563"/>
      <c r="YT87" s="563"/>
      <c r="YU87" s="563"/>
      <c r="YV87" s="563"/>
      <c r="YW87" s="563"/>
      <c r="YX87" s="563"/>
      <c r="YY87" s="563"/>
      <c r="YZ87" s="563"/>
      <c r="ZA87" s="563"/>
      <c r="ZB87" s="563"/>
      <c r="ZC87" s="563"/>
      <c r="ZD87" s="563"/>
      <c r="ZE87" s="563"/>
      <c r="ZF87" s="563"/>
      <c r="ZG87" s="563"/>
      <c r="ZH87" s="563"/>
      <c r="ZI87" s="563"/>
      <c r="ZJ87" s="563"/>
      <c r="ZK87" s="563"/>
      <c r="ZL87" s="563"/>
      <c r="ZM87" s="563"/>
      <c r="ZN87" s="563"/>
      <c r="ZO87" s="563"/>
      <c r="ZP87" s="563"/>
      <c r="ZQ87" s="563"/>
      <c r="ZR87" s="563"/>
      <c r="ZS87" s="563"/>
      <c r="ZT87" s="563"/>
      <c r="ZU87" s="563"/>
      <c r="ZV87" s="563"/>
      <c r="ZW87" s="563"/>
      <c r="ZX87" s="563"/>
      <c r="ZY87" s="563"/>
      <c r="ZZ87" s="563"/>
      <c r="AAA87" s="563"/>
      <c r="AAB87" s="563"/>
      <c r="AAC87" s="563"/>
      <c r="AAD87" s="563"/>
      <c r="AAE87" s="563"/>
      <c r="AAF87" s="563"/>
      <c r="AAG87" s="563"/>
      <c r="AAH87" s="563"/>
      <c r="AAI87" s="563"/>
      <c r="AAJ87" s="563"/>
      <c r="AAK87" s="563"/>
      <c r="AAL87" s="563"/>
      <c r="AAM87" s="563"/>
      <c r="AAN87" s="563"/>
      <c r="AAO87" s="563"/>
      <c r="AAP87" s="563"/>
      <c r="AAQ87" s="563"/>
      <c r="AAR87" s="563"/>
      <c r="AAS87" s="563"/>
      <c r="AAT87" s="563"/>
      <c r="AAU87" s="563"/>
      <c r="AAV87" s="563"/>
      <c r="AAW87" s="563"/>
      <c r="AAX87" s="563"/>
      <c r="AAY87" s="563"/>
      <c r="AAZ87" s="563"/>
      <c r="ABA87" s="563"/>
      <c r="ABB87" s="563"/>
      <c r="ABC87" s="563"/>
      <c r="ABD87" s="563"/>
      <c r="ABE87" s="563"/>
      <c r="ABF87" s="563"/>
      <c r="ABG87" s="563"/>
      <c r="ABH87" s="563"/>
      <c r="ABI87" s="563"/>
      <c r="ABJ87" s="563"/>
      <c r="ABK87" s="563"/>
      <c r="ABL87" s="563"/>
      <c r="ABM87" s="563"/>
      <c r="ABN87" s="563"/>
      <c r="ABO87" s="563"/>
      <c r="ABP87" s="563"/>
      <c r="ABQ87" s="563"/>
      <c r="ABR87" s="563"/>
      <c r="ABS87" s="563"/>
      <c r="ABT87" s="563"/>
      <c r="ABU87" s="563"/>
      <c r="ABV87" s="563"/>
      <c r="ABW87" s="563"/>
      <c r="ABX87" s="563"/>
      <c r="ABY87" s="563"/>
      <c r="ABZ87" s="563"/>
      <c r="ACA87" s="563"/>
      <c r="ACB87" s="563"/>
      <c r="ACC87" s="563"/>
      <c r="ACD87" s="563"/>
      <c r="ACE87" s="563"/>
      <c r="ACF87" s="563"/>
      <c r="ACG87" s="563"/>
      <c r="ACH87" s="563"/>
      <c r="ACI87" s="563"/>
      <c r="ACJ87" s="563"/>
      <c r="ACK87" s="563"/>
      <c r="ACL87" s="563"/>
      <c r="ACM87" s="563"/>
      <c r="ACN87" s="563"/>
      <c r="ACO87" s="563"/>
      <c r="ACP87" s="563"/>
      <c r="ACQ87" s="563"/>
      <c r="ACR87" s="563"/>
      <c r="ACS87" s="563"/>
      <c r="ACT87" s="563"/>
      <c r="ACU87" s="563"/>
      <c r="ACV87" s="563"/>
      <c r="ACW87" s="563"/>
      <c r="ACX87" s="563"/>
      <c r="ACY87" s="563"/>
      <c r="ACZ87" s="563"/>
      <c r="ADA87" s="563"/>
      <c r="ADB87" s="563"/>
      <c r="ADC87" s="563"/>
      <c r="ADD87" s="563"/>
      <c r="ADE87" s="563"/>
      <c r="ADF87" s="563"/>
      <c r="ADG87" s="563"/>
      <c r="ADH87" s="563"/>
      <c r="ADI87" s="563"/>
      <c r="ADJ87" s="563"/>
      <c r="ADK87" s="563"/>
      <c r="ADL87" s="563"/>
      <c r="ADM87" s="563"/>
      <c r="ADN87" s="563"/>
      <c r="ADO87" s="563"/>
      <c r="ADP87" s="563"/>
      <c r="ADQ87" s="563"/>
      <c r="ADR87" s="563"/>
      <c r="ADS87" s="563"/>
      <c r="ADT87" s="563"/>
      <c r="ADU87" s="563"/>
      <c r="ADV87" s="563"/>
      <c r="ADW87" s="563"/>
      <c r="ADX87" s="563"/>
      <c r="ADY87" s="563"/>
      <c r="ADZ87" s="563"/>
      <c r="AEA87" s="563"/>
      <c r="AEB87" s="563"/>
      <c r="AEC87" s="563"/>
      <c r="AED87" s="563"/>
      <c r="AEE87" s="563"/>
      <c r="AEF87" s="563"/>
      <c r="AEG87" s="563"/>
      <c r="AEH87" s="563"/>
      <c r="AEI87" s="563"/>
      <c r="AEJ87" s="563"/>
      <c r="AEK87" s="563"/>
      <c r="AEL87" s="563"/>
      <c r="AEM87" s="563"/>
      <c r="AEN87" s="563"/>
      <c r="AEO87" s="563"/>
      <c r="AEP87" s="563"/>
      <c r="AEQ87" s="563"/>
      <c r="AER87" s="563"/>
      <c r="AES87" s="563"/>
      <c r="AET87" s="563"/>
      <c r="AEU87" s="563"/>
      <c r="AEV87" s="563"/>
      <c r="AEW87" s="563"/>
      <c r="AEX87" s="563"/>
      <c r="AEY87" s="563"/>
      <c r="AEZ87" s="563"/>
      <c r="AFA87" s="563"/>
      <c r="AFB87" s="563"/>
      <c r="AFC87" s="563"/>
      <c r="AFD87" s="563"/>
      <c r="AFE87" s="563"/>
      <c r="AFF87" s="563"/>
      <c r="AFG87" s="563"/>
      <c r="AFH87" s="563"/>
      <c r="AFI87" s="563"/>
      <c r="AFJ87" s="563"/>
      <c r="AFK87" s="563"/>
      <c r="AFL87" s="563"/>
      <c r="AFM87" s="563"/>
      <c r="AFN87" s="563"/>
      <c r="AFO87" s="563"/>
      <c r="AFP87" s="563"/>
      <c r="AFQ87" s="563"/>
      <c r="AFR87" s="563"/>
      <c r="AFS87" s="563"/>
      <c r="AFT87" s="563"/>
      <c r="AFU87" s="563"/>
      <c r="AFV87" s="563"/>
      <c r="AFW87" s="563"/>
      <c r="AFX87" s="563"/>
      <c r="AFY87" s="563"/>
      <c r="AFZ87" s="563"/>
      <c r="AGA87" s="563"/>
      <c r="AGB87" s="563"/>
      <c r="AGC87" s="563"/>
      <c r="AGD87" s="563"/>
      <c r="AGE87" s="563"/>
      <c r="AGF87" s="563"/>
      <c r="AGG87" s="563"/>
      <c r="AGH87" s="563"/>
      <c r="AGI87" s="563"/>
      <c r="AGJ87" s="563"/>
      <c r="AGK87" s="563"/>
      <c r="AGL87" s="563"/>
      <c r="AGM87" s="563"/>
      <c r="AGN87" s="563"/>
      <c r="AGO87" s="563"/>
      <c r="AGP87" s="563"/>
      <c r="AGQ87" s="563"/>
      <c r="AGR87" s="563"/>
      <c r="AGS87" s="563"/>
      <c r="AGT87" s="563"/>
      <c r="AGU87" s="563"/>
      <c r="AGV87" s="563"/>
      <c r="AGW87" s="563"/>
      <c r="AGX87" s="563"/>
      <c r="AGY87" s="563"/>
      <c r="AGZ87" s="563"/>
      <c r="AHA87" s="563"/>
      <c r="AHB87" s="563"/>
      <c r="AHC87" s="563"/>
      <c r="AHD87" s="563"/>
      <c r="AHE87" s="563"/>
      <c r="AHF87" s="563"/>
      <c r="AHG87" s="563"/>
      <c r="AHH87" s="563"/>
      <c r="AHI87" s="563"/>
      <c r="AHJ87" s="563"/>
      <c r="AHK87" s="563"/>
      <c r="AHL87" s="563"/>
      <c r="AHM87" s="563"/>
      <c r="AHN87" s="563"/>
      <c r="AHO87" s="563"/>
      <c r="AHP87" s="563"/>
      <c r="AHQ87" s="563"/>
      <c r="AHR87" s="563"/>
      <c r="AHS87" s="563"/>
      <c r="AHT87" s="563"/>
      <c r="AHU87" s="563"/>
      <c r="AHV87" s="563"/>
      <c r="AHW87" s="563"/>
      <c r="AHX87" s="563"/>
      <c r="AHY87" s="563"/>
      <c r="AHZ87" s="563"/>
      <c r="AIA87" s="563"/>
      <c r="AIB87" s="563"/>
      <c r="AIC87" s="563"/>
      <c r="AID87" s="563"/>
      <c r="AIE87" s="563"/>
      <c r="AIF87" s="563"/>
      <c r="AIG87" s="563"/>
      <c r="AIH87" s="563"/>
      <c r="AII87" s="563"/>
      <c r="AIJ87" s="563"/>
      <c r="AIK87" s="563"/>
      <c r="AIL87" s="563"/>
      <c r="AIM87" s="563"/>
      <c r="AIN87" s="563"/>
      <c r="AIO87" s="563"/>
      <c r="AIP87" s="563"/>
      <c r="AIQ87" s="563"/>
      <c r="AIR87" s="563"/>
      <c r="AIS87" s="563"/>
      <c r="AIT87" s="563"/>
      <c r="AIU87" s="563"/>
      <c r="AIV87" s="563"/>
      <c r="AIW87" s="563"/>
      <c r="AIX87" s="563"/>
      <c r="AIY87" s="563"/>
      <c r="AIZ87" s="563"/>
      <c r="AJA87" s="563"/>
      <c r="AJB87" s="563"/>
      <c r="AJC87" s="563"/>
      <c r="AJD87" s="563"/>
      <c r="AJE87" s="563"/>
      <c r="AJF87" s="563"/>
      <c r="AJG87" s="563"/>
      <c r="AJH87" s="563"/>
      <c r="AJI87" s="563"/>
      <c r="AJJ87" s="563"/>
      <c r="AJK87" s="563"/>
      <c r="AJL87" s="563"/>
      <c r="AJM87" s="563"/>
      <c r="AJN87" s="563"/>
      <c r="AJO87" s="563"/>
      <c r="AJP87" s="563"/>
      <c r="AJQ87" s="563"/>
      <c r="AJR87" s="563"/>
      <c r="AJS87" s="563"/>
      <c r="AJT87" s="563"/>
      <c r="AJU87" s="563"/>
      <c r="AJV87" s="563"/>
      <c r="AJW87" s="563"/>
      <c r="AJX87" s="563"/>
      <c r="AJY87" s="563"/>
      <c r="AJZ87" s="563"/>
      <c r="AKA87" s="563"/>
      <c r="AKB87" s="563"/>
      <c r="AKC87" s="563"/>
      <c r="AKD87" s="563"/>
      <c r="AKE87" s="563"/>
      <c r="AKF87" s="563"/>
      <c r="AKG87" s="563"/>
      <c r="AKH87" s="563"/>
      <c r="AKI87" s="563"/>
      <c r="AKJ87" s="563"/>
      <c r="AKK87" s="563"/>
      <c r="AKL87" s="563"/>
      <c r="AKM87" s="563"/>
    </row>
    <row r="88" s="563" customFormat="1" ht="11.5" spans="1:975">
      <c r="A88" s="1164">
        <v>46238</v>
      </c>
      <c r="B88" s="1050" t="s">
        <v>377</v>
      </c>
      <c r="C88" s="1132"/>
      <c r="D88" s="1050" t="s">
        <v>378</v>
      </c>
      <c r="E88" s="725"/>
      <c r="F88" s="726"/>
      <c r="G88" s="726">
        <v>10769.64</v>
      </c>
      <c r="H88" s="727">
        <v>1</v>
      </c>
      <c r="I88" s="1122">
        <f t="shared" ref="I88:I93" si="49">G88*H88</f>
        <v>10769.64</v>
      </c>
      <c r="J88" s="729">
        <v>9000000</v>
      </c>
      <c r="K88" s="730"/>
      <c r="L88" s="1054">
        <f t="shared" ref="L88:L99" si="50">I88</f>
        <v>10769.64</v>
      </c>
      <c r="M88" s="1054">
        <f t="shared" ref="M88:M99" si="51">L88</f>
        <v>10769.64</v>
      </c>
      <c r="N88" s="1132"/>
      <c r="O88" s="1132"/>
      <c r="P88" s="1132"/>
      <c r="Q88" s="730"/>
      <c r="R88" s="730"/>
      <c r="S88" s="725"/>
      <c r="T88" s="726"/>
      <c r="U88" s="1090"/>
      <c r="V88" s="1090"/>
      <c r="W88" s="1195"/>
      <c r="X88" s="1045" t="str">
        <f t="shared" si="40"/>
        <v/>
      </c>
      <c r="Y88" s="1046" t="str">
        <f t="shared" si="41"/>
        <v/>
      </c>
      <c r="Z88" s="1047" t="str">
        <f t="shared" si="42"/>
        <v/>
      </c>
      <c r="AA88" s="1047" t="str">
        <f t="shared" si="43"/>
        <v/>
      </c>
      <c r="AB88" s="1047" t="str">
        <f t="shared" si="44"/>
        <v/>
      </c>
      <c r="AC88" s="1048" t="str">
        <f t="shared" si="45"/>
        <v/>
      </c>
    </row>
    <row r="89" s="563" customFormat="1" ht="11.5" spans="1:975">
      <c r="A89" s="1196">
        <v>46237</v>
      </c>
      <c r="B89" s="1050" t="s">
        <v>379</v>
      </c>
      <c r="C89" s="1132"/>
      <c r="D89" s="1050" t="s">
        <v>252</v>
      </c>
      <c r="E89" s="725"/>
      <c r="F89" s="726"/>
      <c r="G89" s="726">
        <v>150</v>
      </c>
      <c r="H89" s="727">
        <v>1</v>
      </c>
      <c r="I89" s="1122">
        <f t="shared" si="49"/>
        <v>150</v>
      </c>
      <c r="J89" s="729">
        <v>6000017</v>
      </c>
      <c r="K89" s="730"/>
      <c r="L89" s="1054">
        <f t="shared" si="50"/>
        <v>150</v>
      </c>
      <c r="M89" s="1054">
        <f t="shared" si="51"/>
        <v>150</v>
      </c>
      <c r="N89" s="1132"/>
      <c r="O89" s="1132"/>
      <c r="P89" s="1132"/>
      <c r="Q89" s="730"/>
      <c r="R89" s="730"/>
      <c r="S89" s="725" t="s">
        <v>87</v>
      </c>
      <c r="T89" s="726"/>
      <c r="U89" s="1197"/>
      <c r="V89" s="1197"/>
      <c r="W89" s="1198">
        <v>46248</v>
      </c>
      <c r="X89" s="1045" t="str">
        <f t="shared" si="40"/>
        <v/>
      </c>
      <c r="Y89" s="1046" t="str">
        <f t="shared" si="41"/>
        <v/>
      </c>
      <c r="Z89" s="1047" t="str">
        <f t="shared" si="42"/>
        <v/>
      </c>
      <c r="AA89" s="1047" t="str">
        <f t="shared" si="43"/>
        <v/>
      </c>
      <c r="AB89" s="1047" t="str">
        <f t="shared" si="44"/>
        <v/>
      </c>
      <c r="AC89" s="1048">
        <f t="shared" si="45"/>
        <v>150</v>
      </c>
    </row>
    <row r="90" s="563" customFormat="1" ht="11.5" spans="1:975">
      <c r="A90" s="1199">
        <v>46238</v>
      </c>
      <c r="B90" s="1200" t="s">
        <v>380</v>
      </c>
      <c r="C90" s="729"/>
      <c r="D90" s="1052" t="s">
        <v>79</v>
      </c>
      <c r="E90" s="1201"/>
      <c r="F90" s="728"/>
      <c r="G90" s="728">
        <v>200</v>
      </c>
      <c r="H90" s="727">
        <v>1</v>
      </c>
      <c r="I90" s="1054">
        <f t="shared" si="49"/>
        <v>200</v>
      </c>
      <c r="J90" s="729">
        <v>9990001</v>
      </c>
      <c r="K90" s="730">
        <v>46238</v>
      </c>
      <c r="L90" s="1054">
        <f t="shared" si="50"/>
        <v>200</v>
      </c>
      <c r="M90" s="1054">
        <f t="shared" si="51"/>
        <v>200</v>
      </c>
      <c r="N90" s="729"/>
      <c r="O90" s="1201"/>
      <c r="P90" s="1202"/>
      <c r="Q90" s="1133"/>
      <c r="R90" s="1203"/>
      <c r="S90" s="1134" t="s">
        <v>87</v>
      </c>
      <c r="T90" s="726"/>
      <c r="U90" s="1201"/>
      <c r="V90" s="1201"/>
      <c r="W90" s="1135" t="str">
        <f>IF(S90="Accrual",I90,"")</f>
        <v/>
      </c>
      <c r="X90" s="1045" t="str">
        <f t="shared" si="40"/>
        <v/>
      </c>
      <c r="Y90" s="1046" t="str">
        <f t="shared" si="41"/>
        <v/>
      </c>
      <c r="Z90" s="1047" t="str">
        <f t="shared" si="42"/>
        <v/>
      </c>
      <c r="AA90" s="1047" t="str">
        <f t="shared" si="43"/>
        <v/>
      </c>
      <c r="AB90" s="1047" t="str">
        <f t="shared" si="44"/>
        <v/>
      </c>
      <c r="AC90" s="1048">
        <f t="shared" si="45"/>
        <v>200</v>
      </c>
    </row>
    <row r="91" s="563" customFormat="1" ht="11.5" spans="1:975">
      <c r="A91" s="1199">
        <v>46237</v>
      </c>
      <c r="B91" s="1200" t="s">
        <v>381</v>
      </c>
      <c r="C91" s="729"/>
      <c r="D91" s="1052" t="s">
        <v>79</v>
      </c>
      <c r="E91" s="1201"/>
      <c r="F91" s="728"/>
      <c r="G91" s="728">
        <v>1544</v>
      </c>
      <c r="H91" s="727">
        <v>1</v>
      </c>
      <c r="I91" s="1054">
        <f t="shared" si="49"/>
        <v>1544</v>
      </c>
      <c r="J91" s="729">
        <v>1000002</v>
      </c>
      <c r="K91" s="730">
        <v>46237</v>
      </c>
      <c r="L91" s="1054">
        <f t="shared" si="50"/>
        <v>1544</v>
      </c>
      <c r="M91" s="1054">
        <f t="shared" si="51"/>
        <v>1544</v>
      </c>
      <c r="N91" s="729"/>
      <c r="O91" s="1202"/>
      <c r="P91" s="1201"/>
      <c r="Q91" s="1133"/>
      <c r="R91" s="1203"/>
      <c r="S91" s="1134" t="s">
        <v>87</v>
      </c>
      <c r="T91" s="726"/>
      <c r="U91" s="1201"/>
      <c r="V91" s="1201"/>
      <c r="W91" s="1135" t="str">
        <f>IF(S91="Accrual",I91,"")</f>
        <v/>
      </c>
      <c r="X91" s="1045" t="str">
        <f t="shared" si="40"/>
        <v/>
      </c>
      <c r="Y91" s="1046" t="str">
        <f t="shared" si="41"/>
        <v/>
      </c>
      <c r="Z91" s="1047" t="str">
        <f t="shared" si="42"/>
        <v/>
      </c>
      <c r="AA91" s="1047" t="str">
        <f t="shared" si="43"/>
        <v/>
      </c>
      <c r="AB91" s="1047" t="str">
        <f t="shared" si="44"/>
        <v/>
      </c>
      <c r="AC91" s="1048">
        <f t="shared" si="45"/>
        <v>1544</v>
      </c>
    </row>
    <row r="92" s="563" customFormat="1" ht="11.5" spans="1:975">
      <c r="A92" s="1199">
        <v>46235</v>
      </c>
      <c r="B92" s="1200" t="s">
        <v>382</v>
      </c>
      <c r="C92" s="729"/>
      <c r="D92" s="1052" t="s">
        <v>79</v>
      </c>
      <c r="E92" s="1201"/>
      <c r="F92" s="728">
        <f>I13+I19+I26+I33+I34+I37+I41+I77+I82</f>
        <v>99827.4319983757</v>
      </c>
      <c r="G92" s="728">
        <v>9230</v>
      </c>
      <c r="H92" s="727">
        <v>1</v>
      </c>
      <c r="I92" s="1054">
        <f t="shared" si="49"/>
        <v>9230</v>
      </c>
      <c r="J92" s="729">
        <v>9990001</v>
      </c>
      <c r="K92" s="730">
        <v>46236</v>
      </c>
      <c r="L92" s="1054">
        <f t="shared" si="50"/>
        <v>9230</v>
      </c>
      <c r="M92" s="1054">
        <f t="shared" si="51"/>
        <v>9230</v>
      </c>
      <c r="N92" s="729"/>
      <c r="O92" s="1201"/>
      <c r="P92" s="1201"/>
      <c r="Q92" s="1133"/>
      <c r="R92" s="1203"/>
      <c r="S92" s="1134" t="s">
        <v>87</v>
      </c>
      <c r="T92" s="726"/>
      <c r="U92" s="1201"/>
      <c r="V92" s="1201"/>
      <c r="W92" s="1135" t="str">
        <f>IF(S92="Accrual",I92,"")</f>
        <v/>
      </c>
      <c r="X92" s="1045" t="str">
        <f t="shared" si="40"/>
        <v/>
      </c>
      <c r="Y92" s="1046" t="str">
        <f t="shared" si="41"/>
        <v/>
      </c>
      <c r="Z92" s="1047" t="str">
        <f t="shared" si="42"/>
        <v/>
      </c>
      <c r="AA92" s="1047" t="str">
        <f t="shared" si="43"/>
        <v/>
      </c>
      <c r="AB92" s="1047" t="str">
        <f t="shared" si="44"/>
        <v/>
      </c>
      <c r="AC92" s="1048">
        <f t="shared" si="45"/>
        <v>9230</v>
      </c>
    </row>
    <row r="93" s="563" customFormat="1" ht="11.5" spans="1:975">
      <c r="A93" s="1199">
        <v>46234</v>
      </c>
      <c r="B93" s="1200" t="s">
        <v>383</v>
      </c>
      <c r="C93" s="729"/>
      <c r="D93" s="1052" t="s">
        <v>79</v>
      </c>
      <c r="E93" s="1201"/>
      <c r="F93" s="728"/>
      <c r="G93" s="728">
        <v>2150</v>
      </c>
      <c r="H93" s="727">
        <v>1</v>
      </c>
      <c r="I93" s="1054">
        <f t="shared" si="49"/>
        <v>2150</v>
      </c>
      <c r="J93" s="729">
        <v>9990001</v>
      </c>
      <c r="K93" s="730">
        <v>46235</v>
      </c>
      <c r="L93" s="1054">
        <f t="shared" si="50"/>
        <v>2150</v>
      </c>
      <c r="M93" s="1054">
        <f t="shared" si="51"/>
        <v>2150</v>
      </c>
      <c r="N93" s="724"/>
      <c r="O93" s="1202"/>
      <c r="P93" s="1201"/>
      <c r="Q93" s="1133"/>
      <c r="R93" s="1203"/>
      <c r="S93" s="1134" t="s">
        <v>87</v>
      </c>
      <c r="T93" s="726"/>
      <c r="U93" s="1201"/>
      <c r="V93" s="1201"/>
      <c r="W93" s="1135" t="str">
        <f>IF(S93="Accrual",I93,"")</f>
        <v/>
      </c>
      <c r="X93" s="1045" t="str">
        <f t="shared" si="40"/>
        <v/>
      </c>
      <c r="Y93" s="1046" t="str">
        <f t="shared" si="41"/>
        <v/>
      </c>
      <c r="Z93" s="1047" t="str">
        <f t="shared" si="42"/>
        <v/>
      </c>
      <c r="AA93" s="1047" t="str">
        <f t="shared" si="43"/>
        <v/>
      </c>
      <c r="AB93" s="1047" t="str">
        <f t="shared" si="44"/>
        <v/>
      </c>
      <c r="AC93" s="1048">
        <f t="shared" si="45"/>
        <v>2150</v>
      </c>
    </row>
    <row r="94" s="563" customFormat="1" ht="11.5" spans="1:975">
      <c r="A94" s="1196">
        <v>46234</v>
      </c>
      <c r="B94" s="1160" t="s">
        <v>384</v>
      </c>
      <c r="C94" s="725"/>
      <c r="D94" s="1050" t="s">
        <v>252</v>
      </c>
      <c r="E94" s="725"/>
      <c r="F94" s="726"/>
      <c r="G94" s="726">
        <v>2080</v>
      </c>
      <c r="H94" s="727">
        <v>1</v>
      </c>
      <c r="I94" s="1122">
        <v>2080</v>
      </c>
      <c r="J94" s="729">
        <v>6000014</v>
      </c>
      <c r="K94" s="730"/>
      <c r="L94" s="1054">
        <f t="shared" si="50"/>
        <v>2080</v>
      </c>
      <c r="M94" s="1054">
        <f t="shared" si="51"/>
        <v>2080</v>
      </c>
      <c r="N94" s="1132"/>
      <c r="O94" s="1132"/>
      <c r="P94" s="1132"/>
      <c r="Q94" s="730">
        <v>46234</v>
      </c>
      <c r="R94" s="730">
        <v>46249</v>
      </c>
      <c r="S94" s="725" t="s">
        <v>87</v>
      </c>
      <c r="T94" s="726">
        <v>20</v>
      </c>
      <c r="U94" s="1204"/>
      <c r="V94" s="1204"/>
      <c r="W94" s="1205"/>
      <c r="X94" s="1045" t="str">
        <f t="shared" si="40"/>
        <v/>
      </c>
      <c r="Y94" s="1046" t="str">
        <f t="shared" si="41"/>
        <v/>
      </c>
      <c r="Z94" s="1047" t="str">
        <f t="shared" si="42"/>
        <v/>
      </c>
      <c r="AA94" s="1047" t="str">
        <f t="shared" si="43"/>
        <v/>
      </c>
      <c r="AB94" s="1047" t="str">
        <f t="shared" si="44"/>
        <v/>
      </c>
      <c r="AC94" s="1048">
        <f t="shared" si="45"/>
        <v>2080</v>
      </c>
    </row>
    <row r="95" s="563" customFormat="1" ht="11.5" spans="1:975">
      <c r="A95" s="1049">
        <v>46234</v>
      </c>
      <c r="B95" s="1206" t="s">
        <v>385</v>
      </c>
      <c r="C95" s="1132"/>
      <c r="D95" s="1050" t="s">
        <v>386</v>
      </c>
      <c r="E95" s="725"/>
      <c r="F95" s="726"/>
      <c r="G95" s="726">
        <v>1435</v>
      </c>
      <c r="H95" s="727">
        <v>1</v>
      </c>
      <c r="I95" s="1122">
        <f>G95*H95</f>
        <v>1435</v>
      </c>
      <c r="J95" s="729">
        <v>6000014</v>
      </c>
      <c r="K95" s="730"/>
      <c r="L95" s="1054">
        <f t="shared" si="50"/>
        <v>1435</v>
      </c>
      <c r="M95" s="1054">
        <f t="shared" si="51"/>
        <v>1435</v>
      </c>
      <c r="N95" s="1132"/>
      <c r="O95" s="1132"/>
      <c r="P95" s="1132"/>
      <c r="Q95" s="730"/>
      <c r="R95" s="730"/>
      <c r="S95" s="725"/>
      <c r="T95" s="726"/>
      <c r="U95" s="1204"/>
      <c r="V95" s="1204"/>
      <c r="W95" s="1198">
        <v>46277</v>
      </c>
      <c r="X95" s="1045" t="str">
        <f t="shared" si="40"/>
        <v/>
      </c>
      <c r="Y95" s="1046" t="str">
        <f t="shared" si="41"/>
        <v/>
      </c>
      <c r="Z95" s="1047" t="str">
        <f t="shared" si="42"/>
        <v/>
      </c>
      <c r="AA95" s="1047" t="str">
        <f t="shared" si="43"/>
        <v/>
      </c>
      <c r="AB95" s="1047" t="str">
        <f t="shared" si="44"/>
        <v/>
      </c>
      <c r="AC95" s="1048" t="str">
        <f t="shared" si="45"/>
        <v/>
      </c>
    </row>
    <row r="96" s="563" customFormat="1" ht="11.5" spans="1:975">
      <c r="A96" s="1199">
        <v>46234</v>
      </c>
      <c r="B96" s="724" t="s">
        <v>171</v>
      </c>
      <c r="C96" s="729"/>
      <c r="D96" s="1052" t="s">
        <v>79</v>
      </c>
      <c r="E96" s="1201"/>
      <c r="F96" s="726"/>
      <c r="G96" s="726">
        <v>1350</v>
      </c>
      <c r="H96" s="727">
        <v>1</v>
      </c>
      <c r="I96" s="1122">
        <f>G96*H96</f>
        <v>1350</v>
      </c>
      <c r="J96" s="729">
        <v>6000001</v>
      </c>
      <c r="K96" s="730"/>
      <c r="L96" s="1054">
        <f t="shared" si="50"/>
        <v>1350</v>
      </c>
      <c r="M96" s="1054">
        <f t="shared" si="51"/>
        <v>1350</v>
      </c>
      <c r="N96" s="1132"/>
      <c r="O96" s="1132"/>
      <c r="P96" s="1132"/>
      <c r="Q96" s="730"/>
      <c r="R96" s="730"/>
      <c r="S96" s="1134" t="s">
        <v>87</v>
      </c>
      <c r="T96" s="726"/>
      <c r="U96" s="1204"/>
      <c r="V96" s="1204"/>
      <c r="W96" s="1195"/>
      <c r="X96" s="1045" t="str">
        <f t="shared" si="40"/>
        <v/>
      </c>
      <c r="Y96" s="1046" t="str">
        <f t="shared" si="41"/>
        <v/>
      </c>
      <c r="Z96" s="1047" t="str">
        <f t="shared" si="42"/>
        <v/>
      </c>
      <c r="AA96" s="1047" t="str">
        <f t="shared" si="43"/>
        <v/>
      </c>
      <c r="AB96" s="1047" t="str">
        <f t="shared" si="44"/>
        <v/>
      </c>
      <c r="AC96" s="1048">
        <f t="shared" si="45"/>
        <v>1350</v>
      </c>
    </row>
    <row r="97" s="563" customFormat="1" ht="11.5" spans="1:975">
      <c r="A97" s="1199">
        <v>46233</v>
      </c>
      <c r="B97" s="724" t="s">
        <v>387</v>
      </c>
      <c r="C97" s="729"/>
      <c r="D97" s="1052" t="s">
        <v>79</v>
      </c>
      <c r="E97" s="1201"/>
      <c r="F97" s="728"/>
      <c r="G97" s="728">
        <v>25</v>
      </c>
      <c r="H97" s="727">
        <v>1</v>
      </c>
      <c r="I97" s="1054">
        <f>G97*H97</f>
        <v>25</v>
      </c>
      <c r="J97" s="729">
        <v>6000013</v>
      </c>
      <c r="K97" s="730">
        <v>46234</v>
      </c>
      <c r="L97" s="1054">
        <f t="shared" si="50"/>
        <v>25</v>
      </c>
      <c r="M97" s="1054">
        <f t="shared" si="51"/>
        <v>25</v>
      </c>
      <c r="N97" s="724"/>
      <c r="O97" s="724"/>
      <c r="P97" s="724"/>
      <c r="Q97" s="1133"/>
      <c r="R97" s="724"/>
      <c r="S97" s="1134" t="s">
        <v>87</v>
      </c>
      <c r="T97" s="726"/>
      <c r="U97" s="724"/>
      <c r="V97" s="724"/>
      <c r="W97" s="1159"/>
      <c r="X97" s="1045" t="str">
        <f t="shared" si="40"/>
        <v/>
      </c>
      <c r="Y97" s="1046" t="str">
        <f t="shared" si="41"/>
        <v/>
      </c>
      <c r="Z97" s="1047" t="str">
        <f t="shared" si="42"/>
        <v/>
      </c>
      <c r="AA97" s="1047" t="str">
        <f t="shared" si="43"/>
        <v/>
      </c>
      <c r="AB97" s="1047" t="str">
        <f t="shared" si="44"/>
        <v/>
      </c>
      <c r="AC97" s="1048">
        <f t="shared" si="45"/>
        <v>25</v>
      </c>
    </row>
    <row r="98" s="563" customFormat="1" ht="12" customHeight="1" spans="1:975">
      <c r="A98" s="1049">
        <v>46232</v>
      </c>
      <c r="B98" s="1206" t="s">
        <v>388</v>
      </c>
      <c r="C98" s="1132"/>
      <c r="D98" s="1050" t="s">
        <v>389</v>
      </c>
      <c r="E98" s="725"/>
      <c r="F98" s="726"/>
      <c r="G98" s="726">
        <v>6580</v>
      </c>
      <c r="H98" s="727">
        <v>1</v>
      </c>
      <c r="I98" s="1122">
        <f>G98*H98</f>
        <v>6580</v>
      </c>
      <c r="J98" s="729">
        <v>9000000</v>
      </c>
      <c r="K98" s="730"/>
      <c r="L98" s="1054">
        <f t="shared" si="50"/>
        <v>6580</v>
      </c>
      <c r="M98" s="1122">
        <f t="shared" si="51"/>
        <v>6580</v>
      </c>
      <c r="N98" s="1132"/>
      <c r="O98" s="1132"/>
      <c r="P98" s="1132"/>
      <c r="Q98" s="730"/>
      <c r="R98" s="730"/>
      <c r="S98" s="725"/>
      <c r="T98" s="726"/>
      <c r="U98" s="1204"/>
      <c r="V98" s="1204"/>
      <c r="W98" s="1195"/>
      <c r="X98" s="1045" t="str">
        <f t="shared" si="40"/>
        <v/>
      </c>
      <c r="Y98" s="1046" t="str">
        <f t="shared" si="41"/>
        <v/>
      </c>
      <c r="Z98" s="1047" t="str">
        <f t="shared" si="42"/>
        <v/>
      </c>
      <c r="AA98" s="1047" t="str">
        <f t="shared" si="43"/>
        <v/>
      </c>
      <c r="AB98" s="1047" t="str">
        <f t="shared" si="44"/>
        <v/>
      </c>
      <c r="AC98" s="1048" t="str">
        <f t="shared" si="45"/>
        <v/>
      </c>
    </row>
    <row r="99" s="999" customFormat="1" ht="11.5" spans="1:975">
      <c r="A99" s="1207">
        <v>46231</v>
      </c>
      <c r="B99" s="1208" t="s">
        <v>390</v>
      </c>
      <c r="C99" s="1209"/>
      <c r="D99" s="1210"/>
      <c r="E99" s="1211"/>
      <c r="F99" s="1212"/>
      <c r="G99" s="1212">
        <v>441.18</v>
      </c>
      <c r="H99" s="1213">
        <v>1</v>
      </c>
      <c r="I99" s="1214">
        <f>G99*H99</f>
        <v>441.18</v>
      </c>
      <c r="J99" s="1215">
        <v>6000002</v>
      </c>
      <c r="K99" s="1216"/>
      <c r="L99" s="1214">
        <f t="shared" si="50"/>
        <v>441.18</v>
      </c>
      <c r="M99" s="1214">
        <f t="shared" si="51"/>
        <v>441.18</v>
      </c>
      <c r="N99" s="1217"/>
      <c r="O99" s="1211"/>
      <c r="P99" s="1211"/>
      <c r="Q99" s="1218"/>
      <c r="R99" s="1219"/>
      <c r="S99" s="1220"/>
      <c r="T99" s="1212"/>
      <c r="U99" s="1211"/>
      <c r="V99" s="1211"/>
      <c r="W99" s="1221"/>
      <c r="X99" s="1222" t="str">
        <f t="shared" si="40"/>
        <v/>
      </c>
      <c r="Y99" s="1223" t="str">
        <f t="shared" si="41"/>
        <v/>
      </c>
      <c r="Z99" s="1224" t="str">
        <f t="shared" si="42"/>
        <v/>
      </c>
      <c r="AA99" s="1224" t="str">
        <f t="shared" si="43"/>
        <v/>
      </c>
      <c r="AB99" s="1224" t="str">
        <f t="shared" si="44"/>
        <v/>
      </c>
      <c r="AC99" s="1225" t="str">
        <f t="shared" si="45"/>
        <v/>
      </c>
    </row>
    <row r="100" s="563" customFormat="1" ht="11.5" spans="1:975">
      <c r="A100" s="1226">
        <v>46233</v>
      </c>
      <c r="B100" s="1227" t="s">
        <v>391</v>
      </c>
      <c r="C100" s="1186"/>
      <c r="D100" s="1052" t="s">
        <v>79</v>
      </c>
      <c r="E100" s="1228"/>
      <c r="F100" s="1183"/>
      <c r="G100" s="1183">
        <v>14815</v>
      </c>
      <c r="H100" s="1184">
        <v>1</v>
      </c>
      <c r="I100" s="1188">
        <v>14815</v>
      </c>
      <c r="J100" s="1229">
        <v>6000007</v>
      </c>
      <c r="K100" s="1187">
        <v>46233</v>
      </c>
      <c r="L100" s="1188">
        <v>14815</v>
      </c>
      <c r="M100" s="1188">
        <v>14815</v>
      </c>
      <c r="N100" s="1230"/>
      <c r="O100" s="1228"/>
      <c r="P100" s="1228"/>
      <c r="Q100" s="1231"/>
      <c r="R100" s="1232"/>
      <c r="S100" s="1182"/>
      <c r="T100" s="1183">
        <v>200</v>
      </c>
      <c r="U100" s="1228"/>
      <c r="V100" s="1228"/>
      <c r="W100" s="1233"/>
      <c r="X100" s="1191" t="str">
        <f t="shared" si="40"/>
        <v/>
      </c>
      <c r="Y100" s="1192" t="str">
        <f t="shared" si="41"/>
        <v/>
      </c>
      <c r="Z100" s="1193" t="str">
        <f t="shared" si="42"/>
        <v/>
      </c>
      <c r="AA100" s="1193" t="str">
        <f t="shared" si="43"/>
        <v/>
      </c>
      <c r="AB100" s="1193" t="str">
        <f t="shared" si="44"/>
        <v/>
      </c>
      <c r="AC100" s="1194" t="str">
        <f t="shared" si="45"/>
        <v/>
      </c>
    </row>
    <row r="101" s="998" customFormat="1" ht="12.25" spans="1:975">
      <c r="A101" s="1234">
        <v>46227</v>
      </c>
      <c r="B101" s="1235" t="s">
        <v>392</v>
      </c>
      <c r="C101" s="1236"/>
      <c r="D101" s="1237"/>
      <c r="E101" s="1237"/>
      <c r="F101" s="1238"/>
      <c r="G101" s="1238">
        <v>6850</v>
      </c>
      <c r="H101" s="1239">
        <v>1</v>
      </c>
      <c r="I101" s="1240">
        <f>G101*H101</f>
        <v>6850</v>
      </c>
      <c r="J101" s="1241">
        <v>9000000</v>
      </c>
      <c r="K101" s="1242"/>
      <c r="L101" s="1243">
        <f>I101</f>
        <v>6850</v>
      </c>
      <c r="M101" s="1243">
        <f>I101</f>
        <v>6850</v>
      </c>
      <c r="N101" s="1236"/>
      <c r="O101" s="1236"/>
      <c r="P101" s="1236"/>
      <c r="Q101" s="1242"/>
      <c r="R101" s="1242"/>
      <c r="S101" s="1244"/>
      <c r="T101" s="1238"/>
      <c r="U101" s="1245"/>
      <c r="V101" s="1245"/>
      <c r="W101" s="1246"/>
      <c r="X101" s="1247" t="str">
        <f t="shared" si="40"/>
        <v/>
      </c>
      <c r="Y101" s="1248" t="str">
        <f t="shared" si="41"/>
        <v/>
      </c>
      <c r="Z101" s="1249" t="str">
        <f t="shared" si="42"/>
        <v/>
      </c>
      <c r="AA101" s="1249" t="str">
        <f t="shared" si="43"/>
        <v/>
      </c>
      <c r="AB101" s="1249" t="str">
        <f t="shared" si="44"/>
        <v/>
      </c>
      <c r="AC101" s="1250" t="str">
        <f t="shared" si="45"/>
        <v/>
      </c>
      <c r="AD101" s="563"/>
      <c r="AE101" s="563"/>
      <c r="AF101" s="563"/>
      <c r="AG101" s="563"/>
      <c r="AH101" s="563"/>
      <c r="AI101" s="563"/>
      <c r="AJ101" s="563"/>
      <c r="AK101" s="563"/>
      <c r="AL101" s="563"/>
      <c r="AM101" s="563"/>
      <c r="AN101" s="563"/>
      <c r="AO101" s="563"/>
      <c r="AP101" s="563"/>
      <c r="AQ101" s="563"/>
      <c r="AR101" s="563"/>
      <c r="AS101" s="563"/>
      <c r="AT101" s="563"/>
      <c r="AU101" s="563"/>
      <c r="AV101" s="563"/>
      <c r="AW101" s="563"/>
      <c r="AX101" s="563"/>
      <c r="AY101" s="563"/>
      <c r="AZ101" s="563"/>
      <c r="BA101" s="563"/>
      <c r="BB101" s="563"/>
      <c r="BC101" s="563"/>
      <c r="BD101" s="563"/>
      <c r="BE101" s="563"/>
      <c r="BF101" s="563"/>
      <c r="BG101" s="563"/>
      <c r="BH101" s="563"/>
      <c r="BI101" s="563"/>
      <c r="BJ101" s="563"/>
      <c r="BK101" s="563"/>
      <c r="BL101" s="563"/>
      <c r="BM101" s="563"/>
      <c r="BN101" s="563"/>
      <c r="BO101" s="563"/>
      <c r="BP101" s="563"/>
      <c r="BQ101" s="563"/>
      <c r="BR101" s="563"/>
      <c r="BS101" s="563"/>
      <c r="BT101" s="563"/>
      <c r="BU101" s="563"/>
      <c r="BV101" s="563"/>
      <c r="BW101" s="563"/>
      <c r="BX101" s="563"/>
      <c r="BY101" s="563"/>
      <c r="BZ101" s="563"/>
      <c r="CA101" s="563"/>
      <c r="CB101" s="563"/>
      <c r="CC101" s="563"/>
      <c r="CD101" s="563"/>
      <c r="CE101" s="563"/>
      <c r="CF101" s="563"/>
      <c r="CG101" s="563"/>
      <c r="CH101" s="563"/>
      <c r="CI101" s="563"/>
      <c r="CJ101" s="563"/>
      <c r="CK101" s="563"/>
      <c r="CL101" s="563"/>
      <c r="CM101" s="563"/>
      <c r="CN101" s="563"/>
      <c r="CO101" s="563"/>
      <c r="CP101" s="563"/>
      <c r="CQ101" s="563"/>
      <c r="CR101" s="563"/>
      <c r="CS101" s="563"/>
      <c r="CT101" s="563"/>
      <c r="CU101" s="563"/>
      <c r="CV101" s="563"/>
      <c r="CW101" s="563"/>
      <c r="CX101" s="563"/>
      <c r="CY101" s="563"/>
      <c r="CZ101" s="563"/>
      <c r="DA101" s="563"/>
      <c r="DB101" s="563"/>
      <c r="DC101" s="563"/>
      <c r="DD101" s="563"/>
      <c r="DE101" s="563"/>
      <c r="DF101" s="563"/>
      <c r="DG101" s="563"/>
      <c r="DH101" s="563"/>
      <c r="DI101" s="563"/>
      <c r="DJ101" s="563"/>
      <c r="DK101" s="563"/>
      <c r="DL101" s="563"/>
      <c r="DM101" s="563"/>
      <c r="DN101" s="563"/>
      <c r="DO101" s="563"/>
      <c r="DP101" s="563"/>
      <c r="DQ101" s="563"/>
      <c r="DR101" s="563"/>
      <c r="DS101" s="563"/>
      <c r="DT101" s="563"/>
      <c r="DU101" s="563"/>
      <c r="DV101" s="563"/>
      <c r="DW101" s="563"/>
      <c r="DX101" s="563"/>
      <c r="DY101" s="563"/>
      <c r="DZ101" s="563"/>
      <c r="EA101" s="563"/>
      <c r="EB101" s="563"/>
      <c r="EC101" s="563"/>
      <c r="ED101" s="563"/>
      <c r="EE101" s="563"/>
      <c r="EF101" s="563"/>
      <c r="EG101" s="563"/>
      <c r="EH101" s="563"/>
      <c r="EI101" s="563"/>
      <c r="EJ101" s="563"/>
      <c r="EK101" s="563"/>
      <c r="EL101" s="563"/>
      <c r="EM101" s="563"/>
      <c r="EN101" s="563"/>
      <c r="EO101" s="563"/>
      <c r="EP101" s="563"/>
      <c r="EQ101" s="563"/>
      <c r="ER101" s="563"/>
      <c r="ES101" s="563"/>
      <c r="ET101" s="563"/>
      <c r="EU101" s="563"/>
      <c r="EV101" s="563"/>
      <c r="EW101" s="563"/>
      <c r="EX101" s="563"/>
      <c r="EY101" s="563"/>
      <c r="EZ101" s="563"/>
      <c r="FA101" s="563"/>
      <c r="FB101" s="563"/>
      <c r="FC101" s="563"/>
      <c r="FD101" s="563"/>
      <c r="FE101" s="563"/>
      <c r="FF101" s="563"/>
      <c r="FG101" s="563"/>
      <c r="FH101" s="563"/>
      <c r="FI101" s="563"/>
      <c r="FJ101" s="563"/>
      <c r="FK101" s="563"/>
      <c r="FL101" s="563"/>
      <c r="FM101" s="563"/>
      <c r="FN101" s="563"/>
      <c r="FO101" s="563"/>
      <c r="FP101" s="563"/>
      <c r="FQ101" s="563"/>
      <c r="FR101" s="563"/>
      <c r="FS101" s="563"/>
      <c r="FT101" s="563"/>
      <c r="FU101" s="563"/>
      <c r="FV101" s="563"/>
      <c r="FW101" s="563"/>
      <c r="FX101" s="563"/>
      <c r="FY101" s="563"/>
      <c r="FZ101" s="563"/>
      <c r="GA101" s="563"/>
      <c r="GB101" s="563"/>
      <c r="GC101" s="563"/>
      <c r="GD101" s="563"/>
      <c r="GE101" s="563"/>
      <c r="GF101" s="563"/>
      <c r="GG101" s="563"/>
      <c r="GH101" s="563"/>
      <c r="GI101" s="563"/>
      <c r="GJ101" s="563"/>
      <c r="GK101" s="563"/>
      <c r="GL101" s="563"/>
      <c r="GM101" s="563"/>
      <c r="GN101" s="563"/>
      <c r="GO101" s="563"/>
      <c r="GP101" s="563"/>
      <c r="GQ101" s="563"/>
      <c r="GR101" s="563"/>
      <c r="GS101" s="563"/>
      <c r="GT101" s="563"/>
      <c r="GU101" s="563"/>
      <c r="GV101" s="563"/>
      <c r="GW101" s="563"/>
      <c r="GX101" s="563"/>
      <c r="GY101" s="563"/>
      <c r="GZ101" s="563"/>
      <c r="HA101" s="563"/>
      <c r="HB101" s="563"/>
      <c r="HC101" s="563"/>
      <c r="HD101" s="563"/>
      <c r="HE101" s="563"/>
      <c r="HF101" s="563"/>
      <c r="HG101" s="563"/>
      <c r="HH101" s="563"/>
      <c r="HI101" s="563"/>
      <c r="HJ101" s="563"/>
      <c r="HK101" s="563"/>
      <c r="HL101" s="563"/>
      <c r="HM101" s="563"/>
      <c r="HN101" s="563"/>
      <c r="HO101" s="563"/>
      <c r="HP101" s="563"/>
      <c r="HQ101" s="563"/>
      <c r="HR101" s="563"/>
      <c r="HS101" s="563"/>
      <c r="HT101" s="563"/>
      <c r="HU101" s="563"/>
      <c r="HV101" s="563"/>
      <c r="HW101" s="563"/>
      <c r="HX101" s="563"/>
      <c r="HY101" s="563"/>
      <c r="HZ101" s="563"/>
      <c r="IA101" s="563"/>
      <c r="IB101" s="563"/>
      <c r="IC101" s="563"/>
      <c r="ID101" s="563"/>
      <c r="IE101" s="563"/>
      <c r="IF101" s="563"/>
      <c r="IG101" s="563"/>
      <c r="IH101" s="563"/>
      <c r="II101" s="563"/>
      <c r="IJ101" s="563"/>
      <c r="IK101" s="563"/>
      <c r="IL101" s="563"/>
      <c r="IM101" s="563"/>
      <c r="IN101" s="563"/>
      <c r="IO101" s="563"/>
      <c r="IP101" s="563"/>
      <c r="IQ101" s="563"/>
      <c r="IR101" s="563"/>
      <c r="IS101" s="563"/>
      <c r="IT101" s="563"/>
      <c r="IU101" s="563"/>
      <c r="IV101" s="563"/>
      <c r="IW101" s="563"/>
      <c r="IX101" s="563"/>
      <c r="IY101" s="563"/>
      <c r="IZ101" s="563"/>
      <c r="JA101" s="563"/>
      <c r="JB101" s="563"/>
      <c r="JC101" s="563"/>
      <c r="JD101" s="563"/>
      <c r="JE101" s="563"/>
      <c r="JF101" s="563"/>
      <c r="JG101" s="563"/>
      <c r="JH101" s="563"/>
      <c r="JI101" s="563"/>
      <c r="JJ101" s="563"/>
      <c r="JK101" s="563"/>
      <c r="JL101" s="563"/>
      <c r="JM101" s="563"/>
      <c r="JN101" s="563"/>
      <c r="JO101" s="563"/>
      <c r="JP101" s="563"/>
      <c r="JQ101" s="563"/>
      <c r="JR101" s="563"/>
      <c r="JS101" s="563"/>
      <c r="JT101" s="563"/>
      <c r="JU101" s="563"/>
      <c r="JV101" s="563"/>
      <c r="JW101" s="563"/>
      <c r="JX101" s="563"/>
      <c r="JY101" s="563"/>
      <c r="JZ101" s="563"/>
      <c r="KA101" s="563"/>
      <c r="KB101" s="563"/>
      <c r="KC101" s="563"/>
      <c r="KD101" s="563"/>
      <c r="KE101" s="563"/>
      <c r="KF101" s="563"/>
      <c r="KG101" s="563"/>
      <c r="KH101" s="563"/>
      <c r="KI101" s="563"/>
      <c r="KJ101" s="563"/>
      <c r="KK101" s="563"/>
      <c r="KL101" s="563"/>
      <c r="KM101" s="563"/>
      <c r="KN101" s="563"/>
      <c r="KO101" s="563"/>
      <c r="KP101" s="563"/>
      <c r="KQ101" s="563"/>
      <c r="KR101" s="563"/>
      <c r="KS101" s="563"/>
      <c r="KT101" s="563"/>
      <c r="KU101" s="563"/>
      <c r="KV101" s="563"/>
      <c r="KW101" s="563"/>
      <c r="KX101" s="563"/>
      <c r="KY101" s="563"/>
      <c r="KZ101" s="563"/>
      <c r="LA101" s="563"/>
      <c r="LB101" s="563"/>
      <c r="LC101" s="563"/>
      <c r="LD101" s="563"/>
      <c r="LE101" s="563"/>
      <c r="LF101" s="563"/>
      <c r="LG101" s="563"/>
      <c r="LH101" s="563"/>
      <c r="LI101" s="563"/>
      <c r="LJ101" s="563"/>
      <c r="LK101" s="563"/>
      <c r="LL101" s="563"/>
      <c r="LM101" s="563"/>
      <c r="LN101" s="563"/>
      <c r="LO101" s="563"/>
      <c r="LP101" s="563"/>
      <c r="LQ101" s="563"/>
      <c r="LR101" s="563"/>
      <c r="LS101" s="563"/>
      <c r="LT101" s="563"/>
      <c r="LU101" s="563"/>
      <c r="LV101" s="563"/>
      <c r="LW101" s="563"/>
      <c r="LX101" s="563"/>
      <c r="LY101" s="563"/>
      <c r="LZ101" s="563"/>
      <c r="MA101" s="563"/>
      <c r="MB101" s="563"/>
      <c r="MC101" s="563"/>
      <c r="MD101" s="563"/>
      <c r="ME101" s="563"/>
      <c r="MF101" s="563"/>
      <c r="MG101" s="563"/>
      <c r="MH101" s="563"/>
      <c r="MI101" s="563"/>
      <c r="MJ101" s="563"/>
      <c r="MK101" s="563"/>
      <c r="ML101" s="563"/>
      <c r="MM101" s="563"/>
      <c r="MN101" s="563"/>
      <c r="MO101" s="563"/>
      <c r="MP101" s="563"/>
      <c r="MQ101" s="563"/>
      <c r="MR101" s="563"/>
      <c r="MS101" s="563"/>
      <c r="MT101" s="563"/>
      <c r="MU101" s="563"/>
      <c r="MV101" s="563"/>
      <c r="MW101" s="563"/>
      <c r="MX101" s="563"/>
      <c r="MY101" s="563"/>
      <c r="MZ101" s="563"/>
      <c r="NA101" s="563"/>
      <c r="NB101" s="563"/>
      <c r="NC101" s="563"/>
      <c r="ND101" s="563"/>
      <c r="NE101" s="563"/>
      <c r="NF101" s="563"/>
      <c r="NG101" s="563"/>
      <c r="NH101" s="563"/>
      <c r="NI101" s="563"/>
      <c r="NJ101" s="563"/>
      <c r="NK101" s="563"/>
      <c r="NL101" s="563"/>
      <c r="NM101" s="563"/>
      <c r="NN101" s="563"/>
      <c r="NO101" s="563"/>
      <c r="NP101" s="563"/>
      <c r="NQ101" s="563"/>
      <c r="NR101" s="563"/>
      <c r="NS101" s="563"/>
      <c r="NT101" s="563"/>
      <c r="NU101" s="563"/>
      <c r="NV101" s="563"/>
      <c r="NW101" s="563"/>
      <c r="NX101" s="563"/>
      <c r="NY101" s="563"/>
      <c r="NZ101" s="563"/>
      <c r="OA101" s="563"/>
      <c r="OB101" s="563"/>
      <c r="OC101" s="563"/>
      <c r="OD101" s="563"/>
      <c r="OE101" s="563"/>
      <c r="OF101" s="563"/>
      <c r="OG101" s="563"/>
      <c r="OH101" s="563"/>
      <c r="OI101" s="563"/>
      <c r="OJ101" s="563"/>
      <c r="OK101" s="563"/>
      <c r="OL101" s="563"/>
      <c r="OM101" s="563"/>
      <c r="ON101" s="563"/>
      <c r="OO101" s="563"/>
      <c r="OP101" s="563"/>
      <c r="OQ101" s="563"/>
      <c r="OR101" s="563"/>
      <c r="OS101" s="563"/>
      <c r="OT101" s="563"/>
      <c r="OU101" s="563"/>
      <c r="OV101" s="563"/>
      <c r="OW101" s="563"/>
      <c r="OX101" s="563"/>
      <c r="OY101" s="563"/>
      <c r="OZ101" s="563"/>
      <c r="PA101" s="563"/>
      <c r="PB101" s="563"/>
      <c r="PC101" s="563"/>
      <c r="PD101" s="563"/>
      <c r="PE101" s="563"/>
      <c r="PF101" s="563"/>
      <c r="PG101" s="563"/>
      <c r="PH101" s="563"/>
      <c r="PI101" s="563"/>
      <c r="PJ101" s="563"/>
      <c r="PK101" s="563"/>
      <c r="PL101" s="563"/>
      <c r="PM101" s="563"/>
      <c r="PN101" s="563"/>
      <c r="PO101" s="563"/>
      <c r="PP101" s="563"/>
      <c r="PQ101" s="563"/>
      <c r="PR101" s="563"/>
      <c r="PS101" s="563"/>
      <c r="PT101" s="563"/>
      <c r="PU101" s="563"/>
      <c r="PV101" s="563"/>
      <c r="PW101" s="563"/>
      <c r="PX101" s="563"/>
      <c r="PY101" s="563"/>
      <c r="PZ101" s="563"/>
      <c r="QA101" s="563"/>
      <c r="QB101" s="563"/>
      <c r="QC101" s="563"/>
      <c r="QD101" s="563"/>
      <c r="QE101" s="563"/>
      <c r="QF101" s="563"/>
      <c r="QG101" s="563"/>
      <c r="QH101" s="563"/>
      <c r="QI101" s="563"/>
      <c r="QJ101" s="563"/>
      <c r="QK101" s="563"/>
      <c r="QL101" s="563"/>
      <c r="QM101" s="563"/>
      <c r="QN101" s="563"/>
      <c r="QO101" s="563"/>
      <c r="QP101" s="563"/>
      <c r="QQ101" s="563"/>
      <c r="QR101" s="563"/>
      <c r="QS101" s="563"/>
      <c r="QT101" s="563"/>
      <c r="QU101" s="563"/>
      <c r="QV101" s="563"/>
      <c r="QW101" s="563"/>
      <c r="QX101" s="563"/>
      <c r="QY101" s="563"/>
      <c r="QZ101" s="563"/>
      <c r="RA101" s="563"/>
      <c r="RB101" s="563"/>
      <c r="RC101" s="563"/>
      <c r="RD101" s="563"/>
      <c r="RE101" s="563"/>
      <c r="RF101" s="563"/>
      <c r="RG101" s="563"/>
      <c r="RH101" s="563"/>
      <c r="RI101" s="563"/>
      <c r="RJ101" s="563"/>
      <c r="RK101" s="563"/>
      <c r="RL101" s="563"/>
      <c r="RM101" s="563"/>
      <c r="RN101" s="563"/>
      <c r="RO101" s="563"/>
      <c r="RP101" s="563"/>
      <c r="RQ101" s="563"/>
      <c r="RR101" s="563"/>
      <c r="RS101" s="563"/>
      <c r="RT101" s="563"/>
      <c r="RU101" s="563"/>
      <c r="RV101" s="563"/>
      <c r="RW101" s="563"/>
      <c r="RX101" s="563"/>
      <c r="RY101" s="563"/>
      <c r="RZ101" s="563"/>
      <c r="SA101" s="563"/>
      <c r="SB101" s="563"/>
      <c r="SC101" s="563"/>
      <c r="SD101" s="563"/>
      <c r="SE101" s="563"/>
      <c r="SF101" s="563"/>
      <c r="SG101" s="563"/>
      <c r="SH101" s="563"/>
      <c r="SI101" s="563"/>
      <c r="SJ101" s="563"/>
      <c r="SK101" s="563"/>
      <c r="SL101" s="563"/>
      <c r="SM101" s="563"/>
      <c r="SN101" s="563"/>
      <c r="SO101" s="563"/>
      <c r="SP101" s="563"/>
      <c r="SQ101" s="563"/>
      <c r="SR101" s="563"/>
      <c r="SS101" s="563"/>
      <c r="ST101" s="563"/>
      <c r="SU101" s="563"/>
      <c r="SV101" s="563"/>
      <c r="SW101" s="563"/>
      <c r="SX101" s="563"/>
      <c r="SY101" s="563"/>
      <c r="SZ101" s="563"/>
      <c r="TA101" s="563"/>
      <c r="TB101" s="563"/>
      <c r="TC101" s="563"/>
      <c r="TD101" s="563"/>
      <c r="TE101" s="563"/>
      <c r="TF101" s="563"/>
      <c r="TG101" s="563"/>
      <c r="TH101" s="563"/>
      <c r="TI101" s="563"/>
      <c r="TJ101" s="563"/>
      <c r="TK101" s="563"/>
      <c r="TL101" s="563"/>
      <c r="TM101" s="563"/>
      <c r="TN101" s="563"/>
      <c r="TO101" s="563"/>
      <c r="TP101" s="563"/>
      <c r="TQ101" s="563"/>
      <c r="TR101" s="563"/>
      <c r="TS101" s="563"/>
      <c r="TT101" s="563"/>
      <c r="TU101" s="563"/>
      <c r="TV101" s="563"/>
      <c r="TW101" s="563"/>
      <c r="TX101" s="563"/>
      <c r="TY101" s="563"/>
      <c r="TZ101" s="563"/>
      <c r="UA101" s="563"/>
      <c r="UB101" s="563"/>
      <c r="UC101" s="563"/>
      <c r="UD101" s="563"/>
      <c r="UE101" s="563"/>
      <c r="UF101" s="563"/>
      <c r="UG101" s="563"/>
      <c r="UH101" s="563"/>
      <c r="UI101" s="563"/>
      <c r="UJ101" s="563"/>
      <c r="UK101" s="563"/>
      <c r="UL101" s="563"/>
      <c r="UM101" s="563"/>
      <c r="UN101" s="563"/>
      <c r="UO101" s="563"/>
      <c r="UP101" s="563"/>
      <c r="UQ101" s="563"/>
      <c r="UR101" s="563"/>
      <c r="US101" s="563"/>
      <c r="UT101" s="563"/>
      <c r="UU101" s="563"/>
      <c r="UV101" s="563"/>
      <c r="UW101" s="563"/>
      <c r="UX101" s="563"/>
      <c r="UY101" s="563"/>
      <c r="UZ101" s="563"/>
      <c r="VA101" s="563"/>
      <c r="VB101" s="563"/>
      <c r="VC101" s="563"/>
      <c r="VD101" s="563"/>
      <c r="VE101" s="563"/>
      <c r="VF101" s="563"/>
      <c r="VG101" s="563"/>
      <c r="VH101" s="563"/>
      <c r="VI101" s="563"/>
      <c r="VJ101" s="563"/>
      <c r="VK101" s="563"/>
      <c r="VL101" s="563"/>
      <c r="VM101" s="563"/>
      <c r="VN101" s="563"/>
      <c r="VO101" s="563"/>
      <c r="VP101" s="563"/>
      <c r="VQ101" s="563"/>
      <c r="VR101" s="563"/>
      <c r="VS101" s="563"/>
      <c r="VT101" s="563"/>
      <c r="VU101" s="563"/>
      <c r="VV101" s="563"/>
      <c r="VW101" s="563"/>
      <c r="VX101" s="563"/>
      <c r="VY101" s="563"/>
      <c r="VZ101" s="563"/>
      <c r="WA101" s="563"/>
      <c r="WB101" s="563"/>
      <c r="WC101" s="563"/>
      <c r="WD101" s="563"/>
      <c r="WE101" s="563"/>
      <c r="WF101" s="563"/>
      <c r="WG101" s="563"/>
      <c r="WH101" s="563"/>
      <c r="WI101" s="563"/>
      <c r="WJ101" s="563"/>
      <c r="WK101" s="563"/>
      <c r="WL101" s="563"/>
      <c r="WM101" s="563"/>
      <c r="WN101" s="563"/>
      <c r="WO101" s="563"/>
      <c r="WP101" s="563"/>
      <c r="WQ101" s="563"/>
      <c r="WR101" s="563"/>
      <c r="WS101" s="563"/>
      <c r="WT101" s="563"/>
      <c r="WU101" s="563"/>
      <c r="WV101" s="563"/>
      <c r="WW101" s="563"/>
      <c r="WX101" s="563"/>
      <c r="WY101" s="563"/>
      <c r="WZ101" s="563"/>
      <c r="XA101" s="563"/>
      <c r="XB101" s="563"/>
      <c r="XC101" s="563"/>
      <c r="XD101" s="563"/>
      <c r="XE101" s="563"/>
      <c r="XF101" s="563"/>
      <c r="XG101" s="563"/>
      <c r="XH101" s="563"/>
      <c r="XI101" s="563"/>
      <c r="XJ101" s="563"/>
      <c r="XK101" s="563"/>
      <c r="XL101" s="563"/>
      <c r="XM101" s="563"/>
      <c r="XN101" s="563"/>
      <c r="XO101" s="563"/>
      <c r="XP101" s="563"/>
      <c r="XQ101" s="563"/>
      <c r="XR101" s="563"/>
      <c r="XS101" s="563"/>
      <c r="XT101" s="563"/>
      <c r="XU101" s="563"/>
      <c r="XV101" s="563"/>
      <c r="XW101" s="563"/>
      <c r="XX101" s="563"/>
      <c r="XY101" s="563"/>
      <c r="XZ101" s="563"/>
      <c r="YA101" s="563"/>
      <c r="YB101" s="563"/>
      <c r="YC101" s="563"/>
      <c r="YD101" s="563"/>
      <c r="YE101" s="563"/>
      <c r="YF101" s="563"/>
      <c r="YG101" s="563"/>
      <c r="YH101" s="563"/>
      <c r="YI101" s="563"/>
      <c r="YJ101" s="563"/>
      <c r="YK101" s="563"/>
      <c r="YL101" s="563"/>
      <c r="YM101" s="563"/>
      <c r="YN101" s="563"/>
      <c r="YO101" s="563"/>
      <c r="YP101" s="563"/>
      <c r="YQ101" s="563"/>
      <c r="YR101" s="563"/>
      <c r="YS101" s="563"/>
      <c r="YT101" s="563"/>
      <c r="YU101" s="563"/>
      <c r="YV101" s="563"/>
      <c r="YW101" s="563"/>
      <c r="YX101" s="563"/>
      <c r="YY101" s="563"/>
      <c r="YZ101" s="563"/>
      <c r="ZA101" s="563"/>
      <c r="ZB101" s="563"/>
      <c r="ZC101" s="563"/>
      <c r="ZD101" s="563"/>
      <c r="ZE101" s="563"/>
      <c r="ZF101" s="563"/>
      <c r="ZG101" s="563"/>
      <c r="ZH101" s="563"/>
      <c r="ZI101" s="563"/>
      <c r="ZJ101" s="563"/>
      <c r="ZK101" s="563"/>
      <c r="ZL101" s="563"/>
      <c r="ZM101" s="563"/>
      <c r="ZN101" s="563"/>
      <c r="ZO101" s="563"/>
      <c r="ZP101" s="563"/>
      <c r="ZQ101" s="563"/>
      <c r="ZR101" s="563"/>
      <c r="ZS101" s="563"/>
      <c r="ZT101" s="563"/>
      <c r="ZU101" s="563"/>
      <c r="ZV101" s="563"/>
      <c r="ZW101" s="563"/>
      <c r="ZX101" s="563"/>
      <c r="ZY101" s="563"/>
      <c r="ZZ101" s="563"/>
      <c r="AAA101" s="563"/>
      <c r="AAB101" s="563"/>
      <c r="AAC101" s="563"/>
      <c r="AAD101" s="563"/>
      <c r="AAE101" s="563"/>
      <c r="AAF101" s="563"/>
      <c r="AAG101" s="563"/>
      <c r="AAH101" s="563"/>
      <c r="AAI101" s="563"/>
      <c r="AAJ101" s="563"/>
      <c r="AAK101" s="563"/>
      <c r="AAL101" s="563"/>
      <c r="AAM101" s="563"/>
      <c r="AAN101" s="563"/>
      <c r="AAO101" s="563"/>
      <c r="AAP101" s="563"/>
      <c r="AAQ101" s="563"/>
      <c r="AAR101" s="563"/>
      <c r="AAS101" s="563"/>
      <c r="AAT101" s="563"/>
      <c r="AAU101" s="563"/>
      <c r="AAV101" s="563"/>
      <c r="AAW101" s="563"/>
      <c r="AAX101" s="563"/>
      <c r="AAY101" s="563"/>
      <c r="AAZ101" s="563"/>
      <c r="ABA101" s="563"/>
      <c r="ABB101" s="563"/>
      <c r="ABC101" s="563"/>
      <c r="ABD101" s="563"/>
      <c r="ABE101" s="563"/>
      <c r="ABF101" s="563"/>
      <c r="ABG101" s="563"/>
      <c r="ABH101" s="563"/>
      <c r="ABI101" s="563"/>
      <c r="ABJ101" s="563"/>
      <c r="ABK101" s="563"/>
      <c r="ABL101" s="563"/>
      <c r="ABM101" s="563"/>
      <c r="ABN101" s="563"/>
      <c r="ABO101" s="563"/>
      <c r="ABP101" s="563"/>
      <c r="ABQ101" s="563"/>
      <c r="ABR101" s="563"/>
      <c r="ABS101" s="563"/>
      <c r="ABT101" s="563"/>
      <c r="ABU101" s="563"/>
      <c r="ABV101" s="563"/>
      <c r="ABW101" s="563"/>
      <c r="ABX101" s="563"/>
      <c r="ABY101" s="563"/>
      <c r="ABZ101" s="563"/>
      <c r="ACA101" s="563"/>
      <c r="ACB101" s="563"/>
      <c r="ACC101" s="563"/>
      <c r="ACD101" s="563"/>
      <c r="ACE101" s="563"/>
      <c r="ACF101" s="563"/>
      <c r="ACG101" s="563"/>
      <c r="ACH101" s="563"/>
      <c r="ACI101" s="563"/>
      <c r="ACJ101" s="563"/>
      <c r="ACK101" s="563"/>
      <c r="ACL101" s="563"/>
      <c r="ACM101" s="563"/>
      <c r="ACN101" s="563"/>
      <c r="ACO101" s="563"/>
      <c r="ACP101" s="563"/>
      <c r="ACQ101" s="563"/>
      <c r="ACR101" s="563"/>
      <c r="ACS101" s="563"/>
      <c r="ACT101" s="563"/>
      <c r="ACU101" s="563"/>
      <c r="ACV101" s="563"/>
      <c r="ACW101" s="563"/>
      <c r="ACX101" s="563"/>
      <c r="ACY101" s="563"/>
      <c r="ACZ101" s="563"/>
      <c r="ADA101" s="563"/>
      <c r="ADB101" s="563"/>
      <c r="ADC101" s="563"/>
      <c r="ADD101" s="563"/>
      <c r="ADE101" s="563"/>
      <c r="ADF101" s="563"/>
      <c r="ADG101" s="563"/>
      <c r="ADH101" s="563"/>
      <c r="ADI101" s="563"/>
      <c r="ADJ101" s="563"/>
      <c r="ADK101" s="563"/>
      <c r="ADL101" s="563"/>
      <c r="ADM101" s="563"/>
      <c r="ADN101" s="563"/>
      <c r="ADO101" s="563"/>
      <c r="ADP101" s="563"/>
      <c r="ADQ101" s="563"/>
      <c r="ADR101" s="563"/>
      <c r="ADS101" s="563"/>
      <c r="ADT101" s="563"/>
      <c r="ADU101" s="563"/>
      <c r="ADV101" s="563"/>
      <c r="ADW101" s="563"/>
      <c r="ADX101" s="563"/>
      <c r="ADY101" s="563"/>
      <c r="ADZ101" s="563"/>
      <c r="AEA101" s="563"/>
      <c r="AEB101" s="563"/>
      <c r="AEC101" s="563"/>
      <c r="AED101" s="563"/>
      <c r="AEE101" s="563"/>
      <c r="AEF101" s="563"/>
      <c r="AEG101" s="563"/>
      <c r="AEH101" s="563"/>
      <c r="AEI101" s="563"/>
      <c r="AEJ101" s="563"/>
      <c r="AEK101" s="563"/>
      <c r="AEL101" s="563"/>
      <c r="AEM101" s="563"/>
      <c r="AEN101" s="563"/>
      <c r="AEO101" s="563"/>
      <c r="AEP101" s="563"/>
      <c r="AEQ101" s="563"/>
      <c r="AER101" s="563"/>
      <c r="AES101" s="563"/>
      <c r="AET101" s="563"/>
      <c r="AEU101" s="563"/>
      <c r="AEV101" s="563"/>
      <c r="AEW101" s="563"/>
      <c r="AEX101" s="563"/>
      <c r="AEY101" s="563"/>
      <c r="AEZ101" s="563"/>
      <c r="AFA101" s="563"/>
      <c r="AFB101" s="563"/>
      <c r="AFC101" s="563"/>
      <c r="AFD101" s="563"/>
      <c r="AFE101" s="563"/>
      <c r="AFF101" s="563"/>
      <c r="AFG101" s="563"/>
      <c r="AFH101" s="563"/>
      <c r="AFI101" s="563"/>
      <c r="AFJ101" s="563"/>
      <c r="AFK101" s="563"/>
      <c r="AFL101" s="563"/>
      <c r="AFM101" s="563"/>
      <c r="AFN101" s="563"/>
      <c r="AFO101" s="563"/>
      <c r="AFP101" s="563"/>
      <c r="AFQ101" s="563"/>
      <c r="AFR101" s="563"/>
      <c r="AFS101" s="563"/>
      <c r="AFT101" s="563"/>
      <c r="AFU101" s="563"/>
      <c r="AFV101" s="563"/>
      <c r="AFW101" s="563"/>
      <c r="AFX101" s="563"/>
      <c r="AFY101" s="563"/>
      <c r="AFZ101" s="563"/>
      <c r="AGA101" s="563"/>
      <c r="AGB101" s="563"/>
      <c r="AGC101" s="563"/>
      <c r="AGD101" s="563"/>
      <c r="AGE101" s="563"/>
      <c r="AGF101" s="563"/>
      <c r="AGG101" s="563"/>
      <c r="AGH101" s="563"/>
      <c r="AGI101" s="563"/>
      <c r="AGJ101" s="563"/>
      <c r="AGK101" s="563"/>
      <c r="AGL101" s="563"/>
      <c r="AGM101" s="563"/>
      <c r="AGN101" s="563"/>
      <c r="AGO101" s="563"/>
      <c r="AGP101" s="563"/>
      <c r="AGQ101" s="563"/>
      <c r="AGR101" s="563"/>
      <c r="AGS101" s="563"/>
      <c r="AGT101" s="563"/>
      <c r="AGU101" s="563"/>
      <c r="AGV101" s="563"/>
      <c r="AGW101" s="563"/>
      <c r="AGX101" s="563"/>
      <c r="AGY101" s="563"/>
      <c r="AGZ101" s="563"/>
      <c r="AHA101" s="563"/>
      <c r="AHB101" s="563"/>
      <c r="AHC101" s="563"/>
      <c r="AHD101" s="563"/>
      <c r="AHE101" s="563"/>
      <c r="AHF101" s="563"/>
      <c r="AHG101" s="563"/>
      <c r="AHH101" s="563"/>
      <c r="AHI101" s="563"/>
      <c r="AHJ101" s="563"/>
      <c r="AHK101" s="563"/>
      <c r="AHL101" s="563"/>
      <c r="AHM101" s="563"/>
      <c r="AHN101" s="563"/>
      <c r="AHO101" s="563"/>
      <c r="AHP101" s="563"/>
      <c r="AHQ101" s="563"/>
      <c r="AHR101" s="563"/>
      <c r="AHS101" s="563"/>
      <c r="AHT101" s="563"/>
      <c r="AHU101" s="563"/>
      <c r="AHV101" s="563"/>
      <c r="AHW101" s="563"/>
      <c r="AHX101" s="563"/>
      <c r="AHY101" s="563"/>
      <c r="AHZ101" s="563"/>
      <c r="AIA101" s="563"/>
      <c r="AIB101" s="563"/>
      <c r="AIC101" s="563"/>
      <c r="AID101" s="563"/>
      <c r="AIE101" s="563"/>
      <c r="AIF101" s="563"/>
      <c r="AIG101" s="563"/>
      <c r="AIH101" s="563"/>
      <c r="AII101" s="563"/>
      <c r="AIJ101" s="563"/>
      <c r="AIK101" s="563"/>
      <c r="AIL101" s="563"/>
      <c r="AIM101" s="563"/>
      <c r="AIN101" s="563"/>
      <c r="AIO101" s="563"/>
      <c r="AIP101" s="563"/>
      <c r="AIQ101" s="563"/>
      <c r="AIR101" s="563"/>
      <c r="AIS101" s="563"/>
      <c r="AIT101" s="563"/>
      <c r="AIU101" s="563"/>
      <c r="AIV101" s="563"/>
      <c r="AIW101" s="563"/>
      <c r="AIX101" s="563"/>
      <c r="AIY101" s="563"/>
      <c r="AIZ101" s="563"/>
      <c r="AJA101" s="563"/>
      <c r="AJB101" s="563"/>
      <c r="AJC101" s="563"/>
      <c r="AJD101" s="563"/>
      <c r="AJE101" s="563"/>
      <c r="AJF101" s="563"/>
      <c r="AJG101" s="563"/>
      <c r="AJH101" s="563"/>
      <c r="AJI101" s="563"/>
      <c r="AJJ101" s="563"/>
      <c r="AJK101" s="563"/>
      <c r="AJL101" s="563"/>
      <c r="AJM101" s="563"/>
      <c r="AJN101" s="563"/>
      <c r="AJO101" s="563"/>
      <c r="AJP101" s="563"/>
      <c r="AJQ101" s="563"/>
      <c r="AJR101" s="563"/>
      <c r="AJS101" s="563"/>
      <c r="AJT101" s="563"/>
      <c r="AJU101" s="563"/>
      <c r="AJV101" s="563"/>
      <c r="AJW101" s="563"/>
      <c r="AJX101" s="563"/>
      <c r="AJY101" s="563"/>
      <c r="AJZ101" s="563"/>
      <c r="AKA101" s="563"/>
      <c r="AKB101" s="563"/>
      <c r="AKC101" s="563"/>
      <c r="AKD101" s="563"/>
      <c r="AKE101" s="563"/>
      <c r="AKF101" s="563"/>
      <c r="AKG101" s="563"/>
      <c r="AKH101" s="563"/>
      <c r="AKI101" s="563"/>
      <c r="AKJ101" s="563"/>
      <c r="AKK101" s="563"/>
      <c r="AKL101" s="563"/>
      <c r="AKM101" s="563"/>
    </row>
    <row r="103" ht="12.5" spans="1:975">
      <c r="E103" s="1251"/>
      <c r="I103" s="1252"/>
      <c r="J103" s="117"/>
      <c r="Y103" s="466"/>
      <c r="Z103" s="466"/>
      <c r="AA103" s="466"/>
      <c r="AB103" s="466"/>
      <c r="AC103" s="466"/>
    </row>
    <row r="104" ht="12.5" spans="1:975">
      <c r="J104" s="117"/>
    </row>
    <row r="105" ht="12.5" spans="1:975">
      <c r="J105" s="117"/>
    </row>
    <row r="106" ht="12.5" spans="1:975">
      <c r="J106" s="117"/>
    </row>
    <row r="107" ht="12.5" spans="1:975">
      <c r="J107" s="117"/>
    </row>
    <row r="108" ht="12.5" spans="1:975">
      <c r="E108" s="1253"/>
      <c r="I108" s="319"/>
      <c r="J108" s="117"/>
    </row>
    <row r="109" ht="12.5" spans="1:975">
      <c r="J109" s="117"/>
      <c r="M109" s="466"/>
      <c r="Y109" s="466"/>
    </row>
  </sheetData>
  <conditionalFormatting sqref="S95">
    <cfRule type="cellIs" dxfId="4" priority="106" stopIfTrue="1" operator="equal">
      <formula>"Receiving"</formula>
    </cfRule>
  </conditionalFormatting>
  <conditionalFormatting sqref="S96">
    <cfRule type="containsText" dxfId="3" priority="130" stopIfTrue="1" operator="between" text="APPROVED">
      <formula>NOT(ISERROR(SEARCH("APPROVED",S96)))</formula>
    </cfRule>
    <cfRule type="containsText" dxfId="5" priority="154" stopIfTrue="1" operator="between" text="Received">
      <formula>NOT(ISERROR(SEARCH("Received",S96)))</formula>
    </cfRule>
    <cfRule type="containsText" dxfId="5" priority="279" stopIfTrue="1" operator="between" text="Paying">
      <formula>NOT(ISERROR(SEARCH("Paying",S96)))</formula>
    </cfRule>
  </conditionalFormatting>
  <conditionalFormatting sqref="S99">
    <cfRule type="cellIs" dxfId="4" priority="89" stopIfTrue="1" operator="equal">
      <formula>"Receiving"</formula>
    </cfRule>
  </conditionalFormatting>
  <conditionalFormatting sqref="S97:S101">
    <cfRule type="containsText" dxfId="5" priority="19" stopIfTrue="1" operator="between" text="Paying">
      <formula>NOT(ISERROR(SEARCH("Paying",S97)))</formula>
    </cfRule>
  </conditionalFormatting>
  <conditionalFormatting sqref="AE27:AE28">
    <cfRule type="containsText" dxfId="6" priority="21" operator="between" text="船东付">
      <formula>NOT(ISERROR(SEARCH("船东付",AE27)))</formula>
    </cfRule>
    <cfRule type="containsText" dxfId="7" priority="22" operator="between" text="船东付">
      <formula>NOT(ISERROR(SEARCH("船东付",AE27)))</formula>
    </cfRule>
    <cfRule type="containsText" dxfId="8" priority="23" operator="between" text="待收">
      <formula>NOT(ISERROR(SEARCH("待收",AE27)))</formula>
    </cfRule>
    <cfRule type="containsText" dxfId="9" priority="24" operator="between" text="已开票">
      <formula>NOT(ISERROR(SEARCH("已开票",AE27)))</formula>
    </cfRule>
    <cfRule type="containsText" dxfId="8" priority="25" operator="between" text="已开票">
      <formula>NOT(ISERROR(SEARCH("已开票",AE27)))</formula>
    </cfRule>
    <cfRule type="containsText" dxfId="10" priority="26" operator="between" text="已收">
      <formula>NOT(ISERROR(SEARCH("已收",AE27)))</formula>
    </cfRule>
  </conditionalFormatting>
  <conditionalFormatting sqref="S4:S6 S9:S15">
    <cfRule type="containsText" dxfId="5" priority="1" stopIfTrue="1" operator="between" text="Paying">
      <formula>NOT(ISERROR(SEARCH("Paying",S4)))</formula>
    </cfRule>
  </conditionalFormatting>
  <conditionalFormatting sqref="S4:S6 S10 S13">
    <cfRule type="cellIs" dxfId="4" priority="2" stopIfTrue="1" operator="equal">
      <formula>"Receiving"</formula>
    </cfRule>
  </conditionalFormatting>
  <conditionalFormatting sqref="S7:S8 S16:S17 S20:S22 S38:S40">
    <cfRule type="containsText" dxfId="11" priority="3" stopIfTrue="1" operator="between" text="Paying">
      <formula>NOT(ISERROR(SEARCH("Paying",S7)))</formula>
    </cfRule>
    <cfRule type="containsText" dxfId="12" priority="4" stopIfTrue="1" operator="between" text="Approved">
      <formula>NOT(ISERROR(SEARCH("Approved",S7)))</formula>
    </cfRule>
    <cfRule type="containsText" dxfId="13" priority="5" stopIfTrue="1" operator="between" text="Paying">
      <formula>NOT(ISERROR(SEARCH("Paying",S7)))</formula>
    </cfRule>
    <cfRule type="containsText" dxfId="5" priority="6" stopIfTrue="1" operator="between" text="Uploaded">
      <formula>NOT(ISERROR(SEARCH("Uploaded",S7)))</formula>
    </cfRule>
    <cfRule type="containsText" dxfId="3" priority="7" stopIfTrue="1" operator="between" text="Received">
      <formula>NOT(ISERROR(SEARCH("Received",S7)))</formula>
    </cfRule>
    <cfRule type="containsText" dxfId="2" priority="8" stopIfTrue="1" operator="between" text="Completed">
      <formula>NOT(ISERROR(SEARCH("Completed",S7)))</formula>
    </cfRule>
  </conditionalFormatting>
  <conditionalFormatting sqref="S7:S9 S11:S12 S14:S17 S20:S22 S38:S40">
    <cfRule type="cellIs" dxfId="4" priority="9" stopIfTrue="1" operator="equal">
      <formula>"Receiving"</formula>
    </cfRule>
  </conditionalFormatting>
  <conditionalFormatting sqref="S18:S19 S23:S37 S41:S89">
    <cfRule type="cellIs" dxfId="4" priority="11" stopIfTrue="1" operator="equal">
      <formula>"Receiving"</formula>
    </cfRule>
  </conditionalFormatting>
  <conditionalFormatting sqref="S18:S19 S23:S37 S41:S95">
    <cfRule type="containsText" dxfId="5" priority="10" stopIfTrue="1" operator="between" text="Paying">
      <formula>NOT(ISERROR(SEARCH("Paying",S18)))</formula>
    </cfRule>
  </conditionalFormatting>
  <dataValidations count="3">
    <dataValidation type="list" allowBlank="1" showInputMessage="1" showErrorMessage="1" sqref="S96 S98 S100:S101">
      <formula1>$C$2:$H$2</formula1>
    </dataValidation>
    <dataValidation type="list" allowBlank="1" showInputMessage="1" showErrorMessage="1" sqref="S97 S99 S4:S6 S9:S15 S18:S19 S23:S37 S41:S95">
      <formula1>$X$1:$AC$1</formula1>
    </dataValidation>
    <dataValidation type="list" allowBlank="1" showInputMessage="1" showErrorMessage="1" sqref="S7:S8 S16:S17 S20:S22 S38:S40">
      <formula1>$V$1:$AA$1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B33"/>
  <sheetViews>
    <sheetView zoomScale="85" zoomScaleNormal="85" topLeftCell="F1" workbookViewId="0">
      <selection activeCell="F25" sqref="$A4:$XFD25"/>
    </sheetView>
  </sheetViews>
  <sheetFormatPr defaultColWidth="8.72727272727273" defaultRowHeight="13"/>
  <cols>
    <col min="1" max="1" width="12.7272727272727" style="888" customWidth="1"/>
    <col min="2" max="2" width="76.3636363636364" style="70" customWidth="1"/>
    <col min="3" max="3" width="8.81818181818182" style="889" customWidth="1"/>
    <col min="4" max="4" width="8.36363636363636" style="889" customWidth="1"/>
    <col min="5" max="5" width="9.18181818181818" style="890" customWidth="1"/>
    <col min="6" max="6" width="10.6363636363636" style="890" customWidth="1"/>
    <col min="7" max="7" width="9.81818181818182" style="890" customWidth="1"/>
    <col min="8" max="8" width="15.4545454545455" style="890" customWidth="1"/>
    <col min="9" max="9" width="12.2727272727273" style="891" customWidth="1"/>
    <col min="10" max="10" width="9.27272727272727" style="892" customWidth="1"/>
    <col min="11" max="11" width="16.4545454545455" style="890" customWidth="1"/>
    <col min="12" max="12" width="18.8181818181818" style="890" customWidth="1"/>
    <col min="13" max="15" width="8.27272727272727" style="890" customWidth="1"/>
    <col min="16" max="16" width="11.2727272727273" style="890" customWidth="1"/>
    <col min="17" max="17" width="8.63636363636364" style="890" customWidth="1"/>
    <col min="18" max="18" width="14" style="890" customWidth="1"/>
    <col min="19" max="19" width="11.2727272727273" style="890" customWidth="1"/>
    <col min="20" max="20" width="53" style="890" customWidth="1"/>
    <col min="21" max="21" width="11.6363636363636" style="890" customWidth="1"/>
    <col min="22" max="22" width="7.09090909090909" style="890" customWidth="1"/>
    <col min="23" max="24" width="8.81818181818182" style="890" customWidth="1"/>
    <col min="25" max="25" width="9.18181818181818" style="890" customWidth="1"/>
    <col min="26" max="26" width="6.54545454545455" style="890" customWidth="1"/>
    <col min="27" max="27" width="9.81818181818182" style="890" customWidth="1"/>
    <col min="28" max="28" width="8.72727272727273" style="70" customWidth="1"/>
    <col min="29" max="16384" width="8.72727272727273" style="70"/>
  </cols>
  <sheetData>
    <row r="1" spans="1:28">
      <c r="A1" s="239" t="s">
        <v>144</v>
      </c>
      <c r="B1" s="893" t="s">
        <v>145</v>
      </c>
      <c r="C1" s="894" t="s">
        <v>393</v>
      </c>
      <c r="D1" s="894" t="s">
        <v>147</v>
      </c>
      <c r="E1" s="895" t="s">
        <v>148</v>
      </c>
      <c r="F1" s="895" t="s">
        <v>149</v>
      </c>
      <c r="G1" s="895" t="s">
        <v>150</v>
      </c>
      <c r="H1" s="895" t="s">
        <v>189</v>
      </c>
      <c r="I1" s="895" t="s">
        <v>190</v>
      </c>
      <c r="J1" s="896" t="s">
        <v>191</v>
      </c>
      <c r="K1" s="895" t="s">
        <v>192</v>
      </c>
      <c r="L1" s="895" t="s">
        <v>193</v>
      </c>
      <c r="M1" s="895" t="s">
        <v>185</v>
      </c>
      <c r="N1" s="895" t="s">
        <v>394</v>
      </c>
      <c r="O1" s="895" t="s">
        <v>395</v>
      </c>
      <c r="P1" s="895" t="s">
        <v>197</v>
      </c>
      <c r="Q1" s="895" t="s">
        <v>198</v>
      </c>
      <c r="R1" s="895" t="s">
        <v>199</v>
      </c>
      <c r="S1" s="895" t="s">
        <v>156</v>
      </c>
      <c r="T1" s="897" t="s">
        <v>201</v>
      </c>
      <c r="U1" s="897" t="s">
        <v>201</v>
      </c>
      <c r="V1" s="898" t="s">
        <v>82</v>
      </c>
      <c r="W1" s="899" t="s">
        <v>83</v>
      </c>
      <c r="X1" s="898" t="s">
        <v>84</v>
      </c>
      <c r="Y1" s="898" t="s">
        <v>85</v>
      </c>
      <c r="Z1" s="898" t="s">
        <v>86</v>
      </c>
      <c r="AA1" s="900" t="s">
        <v>87</v>
      </c>
      <c r="AB1" s="901"/>
    </row>
    <row r="2" spans="1:28">
      <c r="A2" s="902"/>
      <c r="B2" s="903"/>
      <c r="C2" s="904" t="s">
        <v>83</v>
      </c>
      <c r="D2" s="905" t="s">
        <v>84</v>
      </c>
      <c r="E2" s="906" t="s">
        <v>85</v>
      </c>
      <c r="F2" s="907" t="s">
        <v>86</v>
      </c>
      <c r="G2" s="906" t="s">
        <v>87</v>
      </c>
      <c r="H2" s="908">
        <f>SUM($H$3:H81)</f>
        <v>29908</v>
      </c>
      <c r="I2" s="907"/>
      <c r="J2" s="909"/>
      <c r="K2" s="910">
        <f>SUM($K$3:K81)</f>
        <v>29908</v>
      </c>
      <c r="L2" s="910">
        <f>SUM($L$3:L81)</f>
        <v>29908</v>
      </c>
      <c r="M2" s="911">
        <f>SUM(M3:M121)</f>
        <v>0</v>
      </c>
      <c r="N2" s="911">
        <f>SUM(N3:N121)</f>
        <v>0</v>
      </c>
      <c r="O2" s="911">
        <f>SUM(O3:O121)</f>
        <v>0</v>
      </c>
      <c r="P2" s="911"/>
      <c r="Q2" s="911"/>
      <c r="R2" s="911"/>
      <c r="S2" s="911">
        <f>SUM(S3:S29)</f>
        <v>0</v>
      </c>
      <c r="T2" s="912" t="s">
        <v>202</v>
      </c>
      <c r="U2" s="912" t="s">
        <v>203</v>
      </c>
      <c r="V2" s="913">
        <f>SUM($V$3:V81)</f>
        <v>0</v>
      </c>
      <c r="W2" s="913">
        <f>SUM($W$3:W81)</f>
        <v>0</v>
      </c>
      <c r="X2" s="913">
        <f>SUM(X3:X29)</f>
        <v>0</v>
      </c>
      <c r="Y2" s="913">
        <f>SUM(Y3:Y29)</f>
        <v>0</v>
      </c>
      <c r="Z2" s="913">
        <f>SUM(Z3:Z29)</f>
        <v>0</v>
      </c>
      <c r="AA2" s="914">
        <f>SUM(AA3:AA29)</f>
        <v>29908</v>
      </c>
      <c r="AB2" s="901"/>
    </row>
    <row r="3" spans="1:28">
      <c r="A3" s="915"/>
      <c r="B3" s="916"/>
      <c r="C3" s="917"/>
      <c r="D3" s="918"/>
      <c r="E3" s="919"/>
      <c r="F3" s="920"/>
      <c r="G3" s="919"/>
      <c r="H3" s="921"/>
      <c r="I3" s="920"/>
      <c r="J3" s="922"/>
      <c r="K3" s="923"/>
      <c r="L3" s="924"/>
      <c r="M3" s="924"/>
      <c r="N3" s="924"/>
      <c r="O3" s="924"/>
      <c r="P3" s="924"/>
      <c r="Q3" s="924"/>
      <c r="R3" s="920"/>
      <c r="S3" s="924"/>
      <c r="T3" s="920"/>
      <c r="U3" s="920"/>
      <c r="V3" s="920" t="str">
        <f>IF(R3="Accrual",H3,"")</f>
        <v/>
      </c>
      <c r="W3" s="925" t="str">
        <f>IF(R3="Receiving",K3,"")</f>
        <v/>
      </c>
      <c r="X3" s="925" t="str">
        <f>IF(R3="Received",L3,"")</f>
        <v/>
      </c>
      <c r="Y3" s="925" t="str">
        <f>IF(R3="Approved",L3,"")</f>
        <v/>
      </c>
      <c r="Z3" s="925" t="str">
        <f>IF(R3="Paying",L3,"")</f>
        <v/>
      </c>
      <c r="AA3" s="926" t="str">
        <f>IF(R3="Completed",L3,"")</f>
        <v/>
      </c>
      <c r="AB3" s="901"/>
    </row>
    <row r="4" spans="1:28">
      <c r="A4" s="927">
        <v>46295</v>
      </c>
      <c r="B4" s="928" t="s">
        <v>209</v>
      </c>
      <c r="C4" s="929" t="s">
        <v>396</v>
      </c>
      <c r="D4" s="930" t="s">
        <v>79</v>
      </c>
      <c r="E4" s="931"/>
      <c r="F4" s="932">
        <v>-249</v>
      </c>
      <c r="G4" s="933">
        <v>1</v>
      </c>
      <c r="H4" s="934">
        <f t="shared" ref="H4:H13" si="0">F4*G4</f>
        <v>-249</v>
      </c>
      <c r="I4" s="935">
        <v>6000002</v>
      </c>
      <c r="J4" s="936">
        <f t="shared" ref="J4:J17" si="1">A4</f>
        <v>46295</v>
      </c>
      <c r="K4" s="934">
        <f t="shared" ref="K4:K13" si="2">H4</f>
        <v>-249</v>
      </c>
      <c r="L4" s="934">
        <f t="shared" ref="L4:L13" si="3">K4</f>
        <v>-249</v>
      </c>
      <c r="M4" s="937"/>
      <c r="N4" s="937"/>
      <c r="O4" s="937"/>
      <c r="P4" s="937"/>
      <c r="Q4" s="937"/>
      <c r="R4" s="938" t="s">
        <v>87</v>
      </c>
      <c r="S4" s="939"/>
      <c r="T4" s="940" t="s">
        <v>397</v>
      </c>
      <c r="U4" s="941"/>
      <c r="V4" s="941" t="str">
        <f t="shared" ref="V4:V15" si="4">IF(R4="Accrual",H4,"")</f>
        <v/>
      </c>
      <c r="W4" s="942" t="str">
        <f t="shared" ref="W4:W13" si="5">IF(R4="Receiving",K4,"")</f>
        <v/>
      </c>
      <c r="X4" s="942" t="str">
        <f t="shared" ref="X4:X13" si="6">IF(R4="Received",L4,"")</f>
        <v/>
      </c>
      <c r="Y4" s="942" t="str">
        <f t="shared" ref="Y4:Y13" si="7">IF(R4="Approved",L4,"")</f>
        <v/>
      </c>
      <c r="Z4" s="942" t="str">
        <f t="shared" ref="Z4:Z13" si="8">IF(R4="Paying",L4,"")</f>
        <v/>
      </c>
      <c r="AA4" s="943">
        <f t="shared" ref="AA4:AA13" si="9">IF(R4="Completed",L4,"")</f>
        <v>-249</v>
      </c>
      <c r="AB4" s="901"/>
    </row>
    <row r="5" spans="1:28">
      <c r="A5" s="927">
        <v>46295</v>
      </c>
      <c r="B5" s="928" t="s">
        <v>210</v>
      </c>
      <c r="C5" s="929" t="s">
        <v>396</v>
      </c>
      <c r="D5" s="930" t="s">
        <v>79</v>
      </c>
      <c r="E5" s="931"/>
      <c r="F5" s="932">
        <v>-5592</v>
      </c>
      <c r="G5" s="933">
        <v>1</v>
      </c>
      <c r="H5" s="934">
        <f t="shared" si="0"/>
        <v>-5592</v>
      </c>
      <c r="I5" s="944">
        <v>1000002</v>
      </c>
      <c r="J5" s="936">
        <f t="shared" si="1"/>
        <v>46295</v>
      </c>
      <c r="K5" s="934">
        <f t="shared" si="2"/>
        <v>-5592</v>
      </c>
      <c r="L5" s="934">
        <f t="shared" si="3"/>
        <v>-5592</v>
      </c>
      <c r="M5" s="937"/>
      <c r="N5" s="937"/>
      <c r="O5" s="937"/>
      <c r="P5" s="937"/>
      <c r="Q5" s="937"/>
      <c r="R5" s="938" t="s">
        <v>87</v>
      </c>
      <c r="S5" s="939"/>
      <c r="T5" s="940" t="s">
        <v>398</v>
      </c>
      <c r="U5" s="941"/>
      <c r="V5" s="941" t="str">
        <f t="shared" si="4"/>
        <v/>
      </c>
      <c r="W5" s="942" t="str">
        <f t="shared" si="5"/>
        <v/>
      </c>
      <c r="X5" s="942" t="str">
        <f t="shared" si="6"/>
        <v/>
      </c>
      <c r="Y5" s="942" t="str">
        <f t="shared" si="7"/>
        <v/>
      </c>
      <c r="Z5" s="942" t="str">
        <f t="shared" si="8"/>
        <v/>
      </c>
      <c r="AA5" s="943">
        <f t="shared" si="9"/>
        <v>-5592</v>
      </c>
      <c r="AB5" s="901"/>
    </row>
    <row r="6" spans="1:28">
      <c r="A6" s="927">
        <v>46286</v>
      </c>
      <c r="B6" s="928" t="s">
        <v>222</v>
      </c>
      <c r="C6" s="929" t="s">
        <v>396</v>
      </c>
      <c r="D6" s="930" t="s">
        <v>79</v>
      </c>
      <c r="E6" s="931"/>
      <c r="F6" s="932">
        <v>-149</v>
      </c>
      <c r="G6" s="933">
        <v>1</v>
      </c>
      <c r="H6" s="934">
        <f t="shared" si="0"/>
        <v>-149</v>
      </c>
      <c r="I6" s="935">
        <v>7000009</v>
      </c>
      <c r="J6" s="936">
        <f t="shared" si="1"/>
        <v>46286</v>
      </c>
      <c r="K6" s="934">
        <f t="shared" si="2"/>
        <v>-149</v>
      </c>
      <c r="L6" s="934">
        <f t="shared" si="3"/>
        <v>-149</v>
      </c>
      <c r="M6" s="937"/>
      <c r="N6" s="937"/>
      <c r="O6" s="937"/>
      <c r="P6" s="937"/>
      <c r="Q6" s="937"/>
      <c r="R6" s="938" t="s">
        <v>87</v>
      </c>
      <c r="S6" s="939"/>
      <c r="T6" s="940" t="s">
        <v>399</v>
      </c>
      <c r="U6" s="941"/>
      <c r="V6" s="941" t="str">
        <f t="shared" si="4"/>
        <v/>
      </c>
      <c r="W6" s="942" t="str">
        <f t="shared" si="5"/>
        <v/>
      </c>
      <c r="X6" s="942" t="str">
        <f t="shared" si="6"/>
        <v/>
      </c>
      <c r="Y6" s="942" t="str">
        <f t="shared" si="7"/>
        <v/>
      </c>
      <c r="Z6" s="942" t="str">
        <f t="shared" si="8"/>
        <v/>
      </c>
      <c r="AA6" s="943">
        <f t="shared" si="9"/>
        <v>-149</v>
      </c>
      <c r="AB6" s="901"/>
    </row>
    <row r="7" spans="1:28">
      <c r="A7" s="927">
        <v>46286</v>
      </c>
      <c r="B7" s="928" t="s">
        <v>223</v>
      </c>
      <c r="C7" s="929" t="s">
        <v>396</v>
      </c>
      <c r="D7" s="930" t="s">
        <v>79</v>
      </c>
      <c r="E7" s="931"/>
      <c r="F7" s="932">
        <v>-3000</v>
      </c>
      <c r="G7" s="933">
        <v>1</v>
      </c>
      <c r="H7" s="934">
        <f t="shared" si="0"/>
        <v>-3000</v>
      </c>
      <c r="I7" s="935">
        <v>10000007</v>
      </c>
      <c r="J7" s="936">
        <f t="shared" si="1"/>
        <v>46286</v>
      </c>
      <c r="K7" s="934">
        <f t="shared" si="2"/>
        <v>-3000</v>
      </c>
      <c r="L7" s="934">
        <f t="shared" si="3"/>
        <v>-3000</v>
      </c>
      <c r="M7" s="937"/>
      <c r="N7" s="937"/>
      <c r="O7" s="937"/>
      <c r="P7" s="937"/>
      <c r="Q7" s="937"/>
      <c r="R7" s="938" t="s">
        <v>87</v>
      </c>
      <c r="S7" s="939"/>
      <c r="T7" s="940" t="s">
        <v>400</v>
      </c>
      <c r="U7" s="945"/>
      <c r="V7" s="941" t="str">
        <f t="shared" si="4"/>
        <v/>
      </c>
      <c r="W7" s="942" t="str">
        <f t="shared" si="5"/>
        <v/>
      </c>
      <c r="X7" s="942" t="str">
        <f t="shared" si="6"/>
        <v/>
      </c>
      <c r="Y7" s="942" t="str">
        <f t="shared" si="7"/>
        <v/>
      </c>
      <c r="Z7" s="942" t="str">
        <f t="shared" si="8"/>
        <v/>
      </c>
      <c r="AA7" s="943">
        <f t="shared" si="9"/>
        <v>-3000</v>
      </c>
      <c r="AB7" s="901"/>
    </row>
    <row r="8" spans="1:28">
      <c r="A8" s="927">
        <v>46284</v>
      </c>
      <c r="B8" s="928" t="s">
        <v>229</v>
      </c>
      <c r="C8" s="929" t="s">
        <v>396</v>
      </c>
      <c r="D8" s="930" t="s">
        <v>79</v>
      </c>
      <c r="E8" s="931"/>
      <c r="F8" s="932">
        <v>-300</v>
      </c>
      <c r="G8" s="933">
        <v>1</v>
      </c>
      <c r="H8" s="934">
        <f t="shared" si="0"/>
        <v>-300</v>
      </c>
      <c r="I8" s="935">
        <v>6000001</v>
      </c>
      <c r="J8" s="936">
        <f t="shared" si="1"/>
        <v>46284</v>
      </c>
      <c r="K8" s="934">
        <f t="shared" si="2"/>
        <v>-300</v>
      </c>
      <c r="L8" s="934">
        <f t="shared" si="3"/>
        <v>-300</v>
      </c>
      <c r="M8" s="937"/>
      <c r="N8" s="937"/>
      <c r="O8" s="937"/>
      <c r="P8" s="937"/>
      <c r="Q8" s="937"/>
      <c r="R8" s="938" t="s">
        <v>87</v>
      </c>
      <c r="S8" s="939"/>
      <c r="T8" s="940" t="s">
        <v>401</v>
      </c>
      <c r="U8" s="946"/>
      <c r="V8" s="941" t="str">
        <f t="shared" si="4"/>
        <v/>
      </c>
      <c r="W8" s="942" t="str">
        <f t="shared" si="5"/>
        <v/>
      </c>
      <c r="X8" s="942" t="str">
        <f t="shared" si="6"/>
        <v/>
      </c>
      <c r="Y8" s="942" t="str">
        <f t="shared" si="7"/>
        <v/>
      </c>
      <c r="Z8" s="942" t="str">
        <f t="shared" si="8"/>
        <v/>
      </c>
      <c r="AA8" s="943">
        <f t="shared" si="9"/>
        <v>-300</v>
      </c>
      <c r="AB8" s="901"/>
    </row>
    <row r="9" spans="1:28">
      <c r="A9" s="927">
        <v>46284</v>
      </c>
      <c r="B9" s="928" t="s">
        <v>230</v>
      </c>
      <c r="C9" s="929" t="s">
        <v>396</v>
      </c>
      <c r="D9" s="930" t="s">
        <v>79</v>
      </c>
      <c r="E9" s="931"/>
      <c r="F9" s="932">
        <v>-1010</v>
      </c>
      <c r="G9" s="933">
        <v>1</v>
      </c>
      <c r="H9" s="934">
        <f t="shared" si="0"/>
        <v>-1010</v>
      </c>
      <c r="I9" s="947">
        <v>6000020</v>
      </c>
      <c r="J9" s="936">
        <f t="shared" si="1"/>
        <v>46284</v>
      </c>
      <c r="K9" s="934">
        <f t="shared" si="2"/>
        <v>-1010</v>
      </c>
      <c r="L9" s="934">
        <f t="shared" si="3"/>
        <v>-1010</v>
      </c>
      <c r="M9" s="937"/>
      <c r="N9" s="937"/>
      <c r="O9" s="937"/>
      <c r="P9" s="937"/>
      <c r="Q9" s="937"/>
      <c r="R9" s="938" t="s">
        <v>87</v>
      </c>
      <c r="S9" s="939"/>
      <c r="T9" s="940" t="s">
        <v>402</v>
      </c>
      <c r="U9" s="941"/>
      <c r="V9" s="941" t="str">
        <f t="shared" si="4"/>
        <v/>
      </c>
      <c r="W9" s="942" t="str">
        <f t="shared" si="5"/>
        <v/>
      </c>
      <c r="X9" s="942" t="str">
        <f t="shared" si="6"/>
        <v/>
      </c>
      <c r="Y9" s="942" t="str">
        <f t="shared" si="7"/>
        <v/>
      </c>
      <c r="Z9" s="942" t="str">
        <f t="shared" si="8"/>
        <v/>
      </c>
      <c r="AA9" s="943">
        <f t="shared" si="9"/>
        <v>-1010</v>
      </c>
      <c r="AB9" s="901"/>
    </row>
    <row r="10" spans="1:28">
      <c r="A10" s="927">
        <v>46283</v>
      </c>
      <c r="B10" s="928" t="s">
        <v>231</v>
      </c>
      <c r="C10" s="929" t="s">
        <v>396</v>
      </c>
      <c r="D10" s="930" t="s">
        <v>79</v>
      </c>
      <c r="E10" s="931"/>
      <c r="F10" s="932">
        <v>-293</v>
      </c>
      <c r="G10" s="933">
        <v>1</v>
      </c>
      <c r="H10" s="934">
        <f t="shared" si="0"/>
        <v>-293</v>
      </c>
      <c r="I10" s="935">
        <v>6000020</v>
      </c>
      <c r="J10" s="936">
        <f t="shared" si="1"/>
        <v>46283</v>
      </c>
      <c r="K10" s="934">
        <f t="shared" si="2"/>
        <v>-293</v>
      </c>
      <c r="L10" s="934">
        <f t="shared" si="3"/>
        <v>-293</v>
      </c>
      <c r="M10" s="937"/>
      <c r="N10" s="937"/>
      <c r="O10" s="937"/>
      <c r="P10" s="937"/>
      <c r="Q10" s="937"/>
      <c r="R10" s="938" t="s">
        <v>87</v>
      </c>
      <c r="S10" s="939"/>
      <c r="T10" s="948" t="s">
        <v>403</v>
      </c>
      <c r="U10" s="941"/>
      <c r="V10" s="941" t="str">
        <f t="shared" si="4"/>
        <v/>
      </c>
      <c r="W10" s="942" t="str">
        <f t="shared" si="5"/>
        <v/>
      </c>
      <c r="X10" s="942" t="str">
        <f t="shared" si="6"/>
        <v/>
      </c>
      <c r="Y10" s="942" t="str">
        <f t="shared" si="7"/>
        <v/>
      </c>
      <c r="Z10" s="942" t="str">
        <f t="shared" si="8"/>
        <v/>
      </c>
      <c r="AA10" s="943">
        <f t="shared" si="9"/>
        <v>-293</v>
      </c>
      <c r="AB10" s="901"/>
    </row>
    <row r="11" spans="1:28">
      <c r="A11" s="927">
        <v>46266</v>
      </c>
      <c r="B11" s="928" t="s">
        <v>255</v>
      </c>
      <c r="C11" s="929" t="s">
        <v>396</v>
      </c>
      <c r="D11" s="930" t="s">
        <v>79</v>
      </c>
      <c r="E11" s="931"/>
      <c r="F11" s="932">
        <v>-120</v>
      </c>
      <c r="G11" s="933">
        <v>1</v>
      </c>
      <c r="H11" s="934">
        <f t="shared" si="0"/>
        <v>-120</v>
      </c>
      <c r="I11" s="935">
        <v>6000001</v>
      </c>
      <c r="J11" s="936">
        <f t="shared" si="1"/>
        <v>46266</v>
      </c>
      <c r="K11" s="934">
        <f t="shared" si="2"/>
        <v>-120</v>
      </c>
      <c r="L11" s="934">
        <f t="shared" si="3"/>
        <v>-120</v>
      </c>
      <c r="M11" s="937"/>
      <c r="N11" s="937"/>
      <c r="O11" s="937"/>
      <c r="P11" s="937"/>
      <c r="Q11" s="937"/>
      <c r="R11" s="938" t="s">
        <v>87</v>
      </c>
      <c r="S11" s="939"/>
      <c r="T11" s="948" t="s">
        <v>404</v>
      </c>
      <c r="U11" s="946"/>
      <c r="V11" s="941" t="str">
        <f t="shared" si="4"/>
        <v/>
      </c>
      <c r="W11" s="942" t="str">
        <f t="shared" si="5"/>
        <v/>
      </c>
      <c r="X11" s="942" t="str">
        <f t="shared" si="6"/>
        <v/>
      </c>
      <c r="Y11" s="942" t="str">
        <f t="shared" si="7"/>
        <v/>
      </c>
      <c r="Z11" s="942" t="str">
        <f t="shared" si="8"/>
        <v/>
      </c>
      <c r="AA11" s="943">
        <f t="shared" si="9"/>
        <v>-120</v>
      </c>
      <c r="AB11" s="901"/>
    </row>
    <row r="12" spans="1:28">
      <c r="A12" s="927">
        <v>46266</v>
      </c>
      <c r="B12" s="928" t="s">
        <v>256</v>
      </c>
      <c r="C12" s="929" t="s">
        <v>396</v>
      </c>
      <c r="D12" s="930" t="s">
        <v>79</v>
      </c>
      <c r="E12" s="931"/>
      <c r="F12" s="932">
        <v>-1400</v>
      </c>
      <c r="G12" s="933">
        <v>1</v>
      </c>
      <c r="H12" s="934">
        <f t="shared" si="0"/>
        <v>-1400</v>
      </c>
      <c r="I12" s="944">
        <v>6000001</v>
      </c>
      <c r="J12" s="936">
        <f t="shared" si="1"/>
        <v>46266</v>
      </c>
      <c r="K12" s="934">
        <f t="shared" si="2"/>
        <v>-1400</v>
      </c>
      <c r="L12" s="934">
        <f t="shared" si="3"/>
        <v>-1400</v>
      </c>
      <c r="M12" s="937"/>
      <c r="N12" s="937"/>
      <c r="O12" s="937"/>
      <c r="P12" s="937"/>
      <c r="Q12" s="937"/>
      <c r="R12" s="938" t="s">
        <v>87</v>
      </c>
      <c r="S12" s="939"/>
      <c r="T12" s="948" t="s">
        <v>405</v>
      </c>
      <c r="U12" s="946"/>
      <c r="V12" s="941" t="str">
        <f t="shared" si="4"/>
        <v/>
      </c>
      <c r="W12" s="942" t="str">
        <f t="shared" si="5"/>
        <v/>
      </c>
      <c r="X12" s="942" t="str">
        <f t="shared" si="6"/>
        <v/>
      </c>
      <c r="Y12" s="942" t="str">
        <f t="shared" si="7"/>
        <v/>
      </c>
      <c r="Z12" s="942" t="str">
        <f t="shared" si="8"/>
        <v/>
      </c>
      <c r="AA12" s="943">
        <f t="shared" si="9"/>
        <v>-1400</v>
      </c>
      <c r="AB12" s="901"/>
    </row>
    <row r="13" spans="1:28">
      <c r="A13" s="927">
        <v>46266</v>
      </c>
      <c r="B13" s="949" t="s">
        <v>257</v>
      </c>
      <c r="C13" s="929" t="s">
        <v>396</v>
      </c>
      <c r="D13" s="930" t="s">
        <v>79</v>
      </c>
      <c r="E13" s="946"/>
      <c r="F13" s="934">
        <v>-375</v>
      </c>
      <c r="G13" s="933">
        <v>1</v>
      </c>
      <c r="H13" s="934">
        <f t="shared" si="0"/>
        <v>-375</v>
      </c>
      <c r="I13" s="935">
        <v>6000011</v>
      </c>
      <c r="J13" s="936">
        <f t="shared" si="1"/>
        <v>46266</v>
      </c>
      <c r="K13" s="934">
        <f t="shared" si="2"/>
        <v>-375</v>
      </c>
      <c r="L13" s="934">
        <f t="shared" si="3"/>
        <v>-375</v>
      </c>
      <c r="M13" s="946"/>
      <c r="N13" s="946"/>
      <c r="O13" s="946"/>
      <c r="P13" s="946"/>
      <c r="Q13" s="946"/>
      <c r="R13" s="938" t="s">
        <v>87</v>
      </c>
      <c r="S13" s="939"/>
      <c r="T13" s="948" t="s">
        <v>406</v>
      </c>
      <c r="U13" s="941"/>
      <c r="V13" s="941" t="str">
        <f t="shared" si="4"/>
        <v/>
      </c>
      <c r="W13" s="942" t="str">
        <f t="shared" si="5"/>
        <v/>
      </c>
      <c r="X13" s="942" t="str">
        <f t="shared" si="6"/>
        <v/>
      </c>
      <c r="Y13" s="942" t="str">
        <f t="shared" si="7"/>
        <v/>
      </c>
      <c r="Z13" s="942" t="str">
        <f t="shared" si="8"/>
        <v/>
      </c>
      <c r="AA13" s="943">
        <f t="shared" si="9"/>
        <v>-375</v>
      </c>
    </row>
    <row r="14" spans="1:28">
      <c r="A14" s="927">
        <v>46265</v>
      </c>
      <c r="B14" s="928" t="s">
        <v>259</v>
      </c>
      <c r="C14" s="929" t="s">
        <v>396</v>
      </c>
      <c r="D14" s="930" t="s">
        <v>79</v>
      </c>
      <c r="E14" s="950"/>
      <c r="F14" s="934">
        <v>-662</v>
      </c>
      <c r="G14" s="933">
        <v>1</v>
      </c>
      <c r="H14" s="934">
        <f t="shared" ref="H14:H25" si="10">F14*G14</f>
        <v>-662</v>
      </c>
      <c r="I14" s="941">
        <v>1000002</v>
      </c>
      <c r="J14" s="936">
        <f t="shared" si="1"/>
        <v>46265</v>
      </c>
      <c r="K14" s="934">
        <f t="shared" ref="K14:K25" si="11">H14</f>
        <v>-662</v>
      </c>
      <c r="L14" s="934">
        <f t="shared" ref="L14:L25" si="12">K14</f>
        <v>-662</v>
      </c>
      <c r="M14" s="939"/>
      <c r="N14" s="939"/>
      <c r="O14" s="939"/>
      <c r="P14" s="939"/>
      <c r="Q14" s="939"/>
      <c r="R14" s="938" t="s">
        <v>87</v>
      </c>
      <c r="S14" s="939"/>
      <c r="T14" s="951" t="s">
        <v>407</v>
      </c>
      <c r="U14" s="941"/>
      <c r="V14" s="941" t="str">
        <f t="shared" si="4"/>
        <v/>
      </c>
      <c r="W14" s="942" t="str">
        <f t="shared" ref="W14:W23" si="13">IF(R14="Receiving",K14,"")</f>
        <v/>
      </c>
      <c r="X14" s="942" t="str">
        <f t="shared" ref="X14:X23" si="14">IF(R14="Received",L14,"")</f>
        <v/>
      </c>
      <c r="Y14" s="942" t="str">
        <f t="shared" ref="Y14:Y23" si="15">IF(R14="Approved",L14,"")</f>
        <v/>
      </c>
      <c r="Z14" s="942" t="str">
        <f t="shared" ref="Z14:Z23" si="16">IF(R14="Paying",L14,"")</f>
        <v/>
      </c>
      <c r="AA14" s="943">
        <f t="shared" ref="AA14:AA25" si="17">IF(R14="Completed",L14,"")</f>
        <v>-662</v>
      </c>
      <c r="AB14" s="901"/>
    </row>
    <row r="15" spans="1:28">
      <c r="A15" s="927">
        <v>46265</v>
      </c>
      <c r="B15" s="928" t="s">
        <v>260</v>
      </c>
      <c r="C15" s="929" t="s">
        <v>396</v>
      </c>
      <c r="D15" s="930" t="s">
        <v>79</v>
      </c>
      <c r="E15" s="950"/>
      <c r="F15" s="934">
        <v>-5400</v>
      </c>
      <c r="G15" s="933">
        <v>1</v>
      </c>
      <c r="H15" s="934">
        <f t="shared" si="10"/>
        <v>-5400</v>
      </c>
      <c r="I15" s="941">
        <v>1000002</v>
      </c>
      <c r="J15" s="936">
        <f t="shared" si="1"/>
        <v>46265</v>
      </c>
      <c r="K15" s="934">
        <f t="shared" si="11"/>
        <v>-5400</v>
      </c>
      <c r="L15" s="934">
        <f t="shared" si="12"/>
        <v>-5400</v>
      </c>
      <c r="M15" s="939"/>
      <c r="N15" s="939"/>
      <c r="O15" s="939"/>
      <c r="P15" s="939"/>
      <c r="Q15" s="939"/>
      <c r="R15" s="938" t="s">
        <v>87</v>
      </c>
      <c r="S15" s="939"/>
      <c r="T15" s="951" t="s">
        <v>408</v>
      </c>
      <c r="U15" s="941"/>
      <c r="V15" s="941" t="str">
        <f t="shared" si="4"/>
        <v/>
      </c>
      <c r="W15" s="942" t="str">
        <f t="shared" si="13"/>
        <v/>
      </c>
      <c r="X15" s="942" t="str">
        <f t="shared" si="14"/>
        <v/>
      </c>
      <c r="Y15" s="942" t="str">
        <f t="shared" si="15"/>
        <v/>
      </c>
      <c r="Z15" s="942" t="str">
        <f t="shared" si="16"/>
        <v/>
      </c>
      <c r="AA15" s="943">
        <f t="shared" si="17"/>
        <v>-5400</v>
      </c>
      <c r="AB15" s="901"/>
    </row>
    <row r="16" spans="1:28">
      <c r="A16" s="927">
        <v>46257</v>
      </c>
      <c r="B16" s="928" t="s">
        <v>363</v>
      </c>
      <c r="C16" s="930" t="s">
        <v>396</v>
      </c>
      <c r="D16" s="930" t="s">
        <v>79</v>
      </c>
      <c r="E16" s="946"/>
      <c r="F16" s="934">
        <v>-733</v>
      </c>
      <c r="G16" s="933">
        <v>1</v>
      </c>
      <c r="H16" s="934">
        <f t="shared" si="10"/>
        <v>-733</v>
      </c>
      <c r="I16" s="941">
        <v>1000006</v>
      </c>
      <c r="J16" s="936">
        <f t="shared" si="1"/>
        <v>46257</v>
      </c>
      <c r="K16" s="934">
        <f t="shared" si="11"/>
        <v>-733</v>
      </c>
      <c r="L16" s="934">
        <f t="shared" si="12"/>
        <v>-733</v>
      </c>
      <c r="M16" s="946"/>
      <c r="N16" s="946"/>
      <c r="O16" s="946"/>
      <c r="P16" s="946"/>
      <c r="Q16" s="946"/>
      <c r="R16" s="938" t="s">
        <v>87</v>
      </c>
      <c r="S16" s="946"/>
      <c r="T16" s="951" t="s">
        <v>409</v>
      </c>
      <c r="U16" s="946"/>
      <c r="V16" s="946"/>
      <c r="W16" s="942" t="str">
        <f t="shared" si="13"/>
        <v/>
      </c>
      <c r="X16" s="942" t="str">
        <f t="shared" si="14"/>
        <v/>
      </c>
      <c r="Y16" s="942" t="str">
        <f t="shared" si="15"/>
        <v/>
      </c>
      <c r="Z16" s="942" t="str">
        <f t="shared" si="16"/>
        <v/>
      </c>
      <c r="AA16" s="943">
        <f t="shared" si="17"/>
        <v>-733</v>
      </c>
    </row>
    <row r="17" spans="1:28">
      <c r="A17" s="927">
        <v>46251</v>
      </c>
      <c r="B17" s="949" t="s">
        <v>367</v>
      </c>
      <c r="C17" s="930" t="s">
        <v>396</v>
      </c>
      <c r="D17" s="930" t="s">
        <v>79</v>
      </c>
      <c r="E17" s="946"/>
      <c r="F17" s="934">
        <v>-1125</v>
      </c>
      <c r="G17" s="933">
        <v>1</v>
      </c>
      <c r="H17" s="934">
        <f t="shared" si="10"/>
        <v>-1125</v>
      </c>
      <c r="I17" s="941">
        <v>9000001</v>
      </c>
      <c r="J17" s="936">
        <f t="shared" si="1"/>
        <v>46251</v>
      </c>
      <c r="K17" s="934">
        <f t="shared" si="11"/>
        <v>-1125</v>
      </c>
      <c r="L17" s="934">
        <f t="shared" si="12"/>
        <v>-1125</v>
      </c>
      <c r="M17" s="946"/>
      <c r="N17" s="946"/>
      <c r="O17" s="946"/>
      <c r="P17" s="946"/>
      <c r="Q17" s="946"/>
      <c r="R17" s="938" t="s">
        <v>87</v>
      </c>
      <c r="S17" s="946"/>
      <c r="T17" s="952" t="s">
        <v>410</v>
      </c>
      <c r="U17" s="946"/>
      <c r="V17" s="946"/>
      <c r="W17" s="942" t="str">
        <f t="shared" si="13"/>
        <v/>
      </c>
      <c r="X17" s="942" t="str">
        <f t="shared" si="14"/>
        <v/>
      </c>
      <c r="Y17" s="942" t="str">
        <f t="shared" si="15"/>
        <v/>
      </c>
      <c r="Z17" s="942" t="str">
        <f t="shared" si="16"/>
        <v/>
      </c>
      <c r="AA17" s="943">
        <f t="shared" si="17"/>
        <v>-1125</v>
      </c>
    </row>
    <row r="18" spans="1:28">
      <c r="A18" s="953">
        <v>46238</v>
      </c>
      <c r="B18" s="954" t="s">
        <v>411</v>
      </c>
      <c r="C18" s="955" t="s">
        <v>412</v>
      </c>
      <c r="D18" s="955" t="s">
        <v>79</v>
      </c>
      <c r="E18" s="956"/>
      <c r="F18" s="957">
        <v>50000</v>
      </c>
      <c r="G18" s="958">
        <v>1</v>
      </c>
      <c r="H18" s="957">
        <f t="shared" si="10"/>
        <v>50000</v>
      </c>
      <c r="I18" s="955">
        <v>6000007</v>
      </c>
      <c r="J18" s="959" t="s">
        <v>413</v>
      </c>
      <c r="K18" s="957">
        <f t="shared" si="11"/>
        <v>50000</v>
      </c>
      <c r="L18" s="957">
        <f t="shared" si="12"/>
        <v>50000</v>
      </c>
      <c r="M18" s="955"/>
      <c r="N18" s="955"/>
      <c r="O18" s="955"/>
      <c r="P18" s="955"/>
      <c r="Q18" s="955"/>
      <c r="R18" s="960" t="s">
        <v>87</v>
      </c>
      <c r="S18" s="955"/>
      <c r="T18" s="961" t="s">
        <v>414</v>
      </c>
      <c r="U18" s="956"/>
      <c r="V18" s="956"/>
      <c r="W18" s="962" t="str">
        <f t="shared" si="13"/>
        <v/>
      </c>
      <c r="X18" s="962" t="str">
        <f t="shared" si="14"/>
        <v/>
      </c>
      <c r="Y18" s="962" t="str">
        <f t="shared" si="15"/>
        <v/>
      </c>
      <c r="Z18" s="962" t="str">
        <f t="shared" si="16"/>
        <v/>
      </c>
      <c r="AA18" s="963">
        <f t="shared" si="17"/>
        <v>50000</v>
      </c>
    </row>
    <row r="19" ht="14.5" customHeight="1" spans="1:28">
      <c r="A19" s="964">
        <v>46238</v>
      </c>
      <c r="B19" s="965" t="s">
        <v>380</v>
      </c>
      <c r="C19" s="930" t="s">
        <v>396</v>
      </c>
      <c r="D19" s="930" t="s">
        <v>79</v>
      </c>
      <c r="E19" s="966"/>
      <c r="F19" s="967">
        <v>-200</v>
      </c>
      <c r="G19" s="968">
        <v>1</v>
      </c>
      <c r="H19" s="932">
        <f t="shared" si="10"/>
        <v>-200</v>
      </c>
      <c r="I19" s="941">
        <v>9990001</v>
      </c>
      <c r="J19" s="936">
        <v>46238</v>
      </c>
      <c r="K19" s="932">
        <f t="shared" si="11"/>
        <v>-200</v>
      </c>
      <c r="L19" s="932">
        <f t="shared" si="12"/>
        <v>-200</v>
      </c>
      <c r="M19" s="930"/>
      <c r="N19" s="966"/>
      <c r="O19" s="969"/>
      <c r="P19" s="970"/>
      <c r="Q19" s="970"/>
      <c r="R19" s="971" t="s">
        <v>87</v>
      </c>
      <c r="S19" s="966"/>
      <c r="T19" s="972" t="s">
        <v>415</v>
      </c>
      <c r="U19" s="966"/>
      <c r="V19" s="941" t="str">
        <f>IF(R19="Accrual",H19,"")</f>
        <v/>
      </c>
      <c r="W19" s="942" t="str">
        <f t="shared" si="13"/>
        <v/>
      </c>
      <c r="X19" s="942" t="str">
        <f t="shared" si="14"/>
        <v/>
      </c>
      <c r="Y19" s="942" t="str">
        <f t="shared" si="15"/>
        <v/>
      </c>
      <c r="Z19" s="942" t="str">
        <f t="shared" si="16"/>
        <v/>
      </c>
      <c r="AA19" s="943">
        <f t="shared" si="17"/>
        <v>-200</v>
      </c>
      <c r="AB19" s="901"/>
    </row>
    <row r="20" ht="14.5" customHeight="1" spans="1:28">
      <c r="A20" s="964">
        <v>46237</v>
      </c>
      <c r="B20" s="965" t="s">
        <v>381</v>
      </c>
      <c r="C20" s="930" t="s">
        <v>396</v>
      </c>
      <c r="D20" s="930" t="s">
        <v>79</v>
      </c>
      <c r="E20" s="966"/>
      <c r="F20" s="967">
        <v>-1544</v>
      </c>
      <c r="G20" s="973">
        <v>1</v>
      </c>
      <c r="H20" s="932">
        <f t="shared" si="10"/>
        <v>-1544</v>
      </c>
      <c r="I20" s="941">
        <v>1000002</v>
      </c>
      <c r="J20" s="936">
        <v>46237</v>
      </c>
      <c r="K20" s="932">
        <f t="shared" si="11"/>
        <v>-1544</v>
      </c>
      <c r="L20" s="932">
        <f t="shared" si="12"/>
        <v>-1544</v>
      </c>
      <c r="M20" s="930"/>
      <c r="N20" s="969"/>
      <c r="O20" s="966"/>
      <c r="P20" s="970"/>
      <c r="Q20" s="970"/>
      <c r="R20" s="974" t="s">
        <v>87</v>
      </c>
      <c r="S20" s="966"/>
      <c r="T20" s="975" t="s">
        <v>416</v>
      </c>
      <c r="U20" s="966"/>
      <c r="V20" s="941" t="str">
        <f>IF(R20="Accrual",H20,"")</f>
        <v/>
      </c>
      <c r="W20" s="942" t="str">
        <f t="shared" si="13"/>
        <v/>
      </c>
      <c r="X20" s="942" t="str">
        <f t="shared" si="14"/>
        <v/>
      </c>
      <c r="Y20" s="942" t="str">
        <f t="shared" si="15"/>
        <v/>
      </c>
      <c r="Z20" s="942" t="str">
        <f t="shared" si="16"/>
        <v/>
      </c>
      <c r="AA20" s="943">
        <f t="shared" si="17"/>
        <v>-1544</v>
      </c>
      <c r="AB20" s="901"/>
    </row>
    <row r="21" ht="14.5" customHeight="1" spans="1:28">
      <c r="A21" s="964">
        <v>46235</v>
      </c>
      <c r="B21" s="965" t="s">
        <v>382</v>
      </c>
      <c r="C21" s="930" t="s">
        <v>396</v>
      </c>
      <c r="D21" s="930" t="s">
        <v>79</v>
      </c>
      <c r="E21" s="966"/>
      <c r="F21" s="967">
        <v>-9230</v>
      </c>
      <c r="G21" s="968">
        <v>1</v>
      </c>
      <c r="H21" s="932">
        <f t="shared" si="10"/>
        <v>-9230</v>
      </c>
      <c r="I21" s="941">
        <v>9990001</v>
      </c>
      <c r="J21" s="936">
        <v>46236</v>
      </c>
      <c r="K21" s="932">
        <f t="shared" si="11"/>
        <v>-9230</v>
      </c>
      <c r="L21" s="932">
        <f t="shared" si="12"/>
        <v>-9230</v>
      </c>
      <c r="M21" s="930"/>
      <c r="N21" s="966"/>
      <c r="O21" s="966"/>
      <c r="P21" s="970"/>
      <c r="Q21" s="970"/>
      <c r="R21" s="974" t="s">
        <v>87</v>
      </c>
      <c r="S21" s="966"/>
      <c r="T21" s="972" t="s">
        <v>417</v>
      </c>
      <c r="U21" s="966"/>
      <c r="V21" s="941" t="str">
        <f>IF(R21="Accrual",H21,"")</f>
        <v/>
      </c>
      <c r="W21" s="942" t="str">
        <f t="shared" si="13"/>
        <v/>
      </c>
      <c r="X21" s="942" t="str">
        <f t="shared" si="14"/>
        <v/>
      </c>
      <c r="Y21" s="942" t="str">
        <f t="shared" si="15"/>
        <v/>
      </c>
      <c r="Z21" s="942" t="str">
        <f t="shared" si="16"/>
        <v/>
      </c>
      <c r="AA21" s="943">
        <f t="shared" si="17"/>
        <v>-9230</v>
      </c>
      <c r="AB21" s="901"/>
    </row>
    <row r="22" ht="14.5" customHeight="1" spans="1:28">
      <c r="A22" s="964">
        <v>46234</v>
      </c>
      <c r="B22" s="965" t="s">
        <v>383</v>
      </c>
      <c r="C22" s="930" t="s">
        <v>396</v>
      </c>
      <c r="D22" s="930" t="s">
        <v>79</v>
      </c>
      <c r="E22" s="966"/>
      <c r="F22" s="967">
        <v>-2150</v>
      </c>
      <c r="G22" s="973">
        <v>1</v>
      </c>
      <c r="H22" s="932">
        <f t="shared" si="10"/>
        <v>-2150</v>
      </c>
      <c r="I22" s="941">
        <v>9990001</v>
      </c>
      <c r="J22" s="936">
        <v>46235</v>
      </c>
      <c r="K22" s="932">
        <f t="shared" si="11"/>
        <v>-2150</v>
      </c>
      <c r="L22" s="932">
        <f t="shared" si="12"/>
        <v>-2150</v>
      </c>
      <c r="M22" s="945"/>
      <c r="N22" s="969"/>
      <c r="O22" s="966"/>
      <c r="P22" s="970"/>
      <c r="Q22" s="970"/>
      <c r="R22" s="974" t="s">
        <v>87</v>
      </c>
      <c r="S22" s="966"/>
      <c r="T22" s="972" t="s">
        <v>418</v>
      </c>
      <c r="U22" s="966"/>
      <c r="V22" s="941" t="str">
        <f>IF(R22="Accrual",H22,"")</f>
        <v/>
      </c>
      <c r="W22" s="942" t="str">
        <f t="shared" si="13"/>
        <v/>
      </c>
      <c r="X22" s="942" t="str">
        <f t="shared" si="14"/>
        <v/>
      </c>
      <c r="Y22" s="942" t="str">
        <f t="shared" si="15"/>
        <v/>
      </c>
      <c r="Z22" s="942" t="str">
        <f t="shared" si="16"/>
        <v/>
      </c>
      <c r="AA22" s="943">
        <f t="shared" si="17"/>
        <v>-2150</v>
      </c>
      <c r="AB22" s="901"/>
    </row>
    <row r="23" ht="14.5" customHeight="1" spans="1:28">
      <c r="A23" s="964">
        <v>46234</v>
      </c>
      <c r="B23" s="949" t="s">
        <v>171</v>
      </c>
      <c r="C23" s="930" t="s">
        <v>396</v>
      </c>
      <c r="D23" s="930" t="s">
        <v>79</v>
      </c>
      <c r="E23" s="945"/>
      <c r="F23" s="967">
        <v>-1350</v>
      </c>
      <c r="G23" s="968">
        <v>1</v>
      </c>
      <c r="H23" s="932">
        <f t="shared" si="10"/>
        <v>-1350</v>
      </c>
      <c r="I23" s="941">
        <v>6000001</v>
      </c>
      <c r="J23" s="936">
        <v>46234</v>
      </c>
      <c r="K23" s="932">
        <f t="shared" si="11"/>
        <v>-1350</v>
      </c>
      <c r="L23" s="932">
        <f t="shared" si="12"/>
        <v>-1350</v>
      </c>
      <c r="M23" s="934"/>
      <c r="N23" s="966"/>
      <c r="O23" s="966"/>
      <c r="P23" s="970"/>
      <c r="Q23" s="970"/>
      <c r="R23" s="974" t="s">
        <v>87</v>
      </c>
      <c r="S23" s="966"/>
      <c r="T23" s="972" t="s">
        <v>419</v>
      </c>
      <c r="U23" s="966"/>
      <c r="V23" s="941" t="str">
        <f>IF(R23="Accrual",H23,"")</f>
        <v/>
      </c>
      <c r="W23" s="942" t="str">
        <f t="shared" si="13"/>
        <v/>
      </c>
      <c r="X23" s="942" t="str">
        <f t="shared" si="14"/>
        <v/>
      </c>
      <c r="Y23" s="942" t="str">
        <f t="shared" si="15"/>
        <v/>
      </c>
      <c r="Z23" s="942" t="str">
        <f t="shared" si="16"/>
        <v/>
      </c>
      <c r="AA23" s="943">
        <f t="shared" si="17"/>
        <v>-1350</v>
      </c>
      <c r="AB23" s="901"/>
    </row>
    <row r="24" spans="1:28">
      <c r="A24" s="964">
        <v>46233</v>
      </c>
      <c r="B24" s="949" t="s">
        <v>387</v>
      </c>
      <c r="C24" s="930" t="s">
        <v>396</v>
      </c>
      <c r="D24" s="930" t="s">
        <v>79</v>
      </c>
      <c r="E24" s="966"/>
      <c r="F24" s="932">
        <v>-25</v>
      </c>
      <c r="G24" s="933">
        <v>1</v>
      </c>
      <c r="H24" s="932">
        <f t="shared" si="10"/>
        <v>-25</v>
      </c>
      <c r="I24" s="941">
        <v>6000013</v>
      </c>
      <c r="J24" s="936">
        <v>46233</v>
      </c>
      <c r="K24" s="932">
        <f t="shared" si="11"/>
        <v>-25</v>
      </c>
      <c r="L24" s="932">
        <f t="shared" si="12"/>
        <v>-25</v>
      </c>
      <c r="M24" s="946"/>
      <c r="N24" s="946"/>
      <c r="O24" s="946"/>
      <c r="P24" s="946"/>
      <c r="Q24" s="946"/>
      <c r="R24" s="974" t="s">
        <v>87</v>
      </c>
      <c r="S24" s="946"/>
      <c r="T24" s="951" t="s">
        <v>420</v>
      </c>
      <c r="U24" s="946"/>
      <c r="V24" s="946"/>
      <c r="W24" s="946"/>
      <c r="X24" s="946"/>
      <c r="Y24" s="946"/>
      <c r="Z24" s="946"/>
      <c r="AA24" s="943">
        <f t="shared" si="17"/>
        <v>-25</v>
      </c>
    </row>
    <row r="25" ht="14.5" customHeight="1" spans="1:28">
      <c r="A25" s="976">
        <v>46233</v>
      </c>
      <c r="B25" s="977" t="s">
        <v>391</v>
      </c>
      <c r="C25" s="978" t="s">
        <v>412</v>
      </c>
      <c r="D25" s="978" t="s">
        <v>79</v>
      </c>
      <c r="E25" s="979"/>
      <c r="F25" s="980">
        <v>14815</v>
      </c>
      <c r="G25" s="981">
        <v>1</v>
      </c>
      <c r="H25" s="982">
        <f t="shared" si="10"/>
        <v>14815</v>
      </c>
      <c r="I25" s="983">
        <v>6000007</v>
      </c>
      <c r="J25" s="984">
        <v>46233</v>
      </c>
      <c r="K25" s="982">
        <f t="shared" si="11"/>
        <v>14815</v>
      </c>
      <c r="L25" s="982">
        <f t="shared" si="12"/>
        <v>14815</v>
      </c>
      <c r="M25" s="985"/>
      <c r="N25" s="979"/>
      <c r="O25" s="979"/>
      <c r="P25" s="986"/>
      <c r="Q25" s="986"/>
      <c r="R25" s="987" t="s">
        <v>87</v>
      </c>
      <c r="S25" s="979"/>
      <c r="T25" s="988" t="s">
        <v>421</v>
      </c>
      <c r="U25" s="979"/>
      <c r="V25" s="989" t="str">
        <f>IF(R25="Accrual",H25,"")</f>
        <v/>
      </c>
      <c r="W25" s="990" t="str">
        <f>IF(R25="Receiving",K25,"")</f>
        <v/>
      </c>
      <c r="X25" s="990" t="str">
        <f>IF(R25="Received",L25,"")</f>
        <v/>
      </c>
      <c r="Y25" s="990" t="str">
        <f>IF(R25="Approved",L25,"")</f>
        <v/>
      </c>
      <c r="Z25" s="990" t="str">
        <f>IF(R25="Paying",L25,"")</f>
        <v/>
      </c>
      <c r="AA25" s="991">
        <f t="shared" si="17"/>
        <v>14815</v>
      </c>
      <c r="AB25" s="901"/>
    </row>
    <row r="27" ht="14.5" customHeight="1" spans="1:28">
      <c r="A27" s="992"/>
      <c r="B27" s="901"/>
      <c r="D27" s="993"/>
      <c r="E27" s="993"/>
      <c r="F27" s="994"/>
      <c r="G27" s="995"/>
      <c r="H27" s="993"/>
      <c r="I27" s="993"/>
      <c r="K27" s="993"/>
      <c r="L27" s="993"/>
      <c r="M27" s="993"/>
      <c r="N27" s="993"/>
      <c r="O27" s="993"/>
      <c r="P27" s="993"/>
      <c r="Q27" s="993"/>
      <c r="R27" s="993"/>
      <c r="S27" s="993"/>
      <c r="T27" s="993"/>
      <c r="U27" s="993"/>
      <c r="V27" s="993"/>
      <c r="W27" s="993"/>
      <c r="X27" s="993"/>
      <c r="Y27" s="993"/>
      <c r="Z27" s="993"/>
      <c r="AA27" s="993"/>
      <c r="AB27" s="901"/>
    </row>
    <row r="28" ht="14.5" customHeight="1" spans="1:28">
      <c r="A28" s="992"/>
      <c r="B28" s="901"/>
      <c r="D28" s="993"/>
      <c r="E28" s="993"/>
      <c r="F28" s="994"/>
      <c r="G28" s="993"/>
      <c r="H28" s="993"/>
      <c r="I28" s="993"/>
      <c r="K28" s="993"/>
      <c r="L28" s="993"/>
      <c r="M28" s="993"/>
      <c r="N28" s="993"/>
      <c r="O28" s="993"/>
      <c r="P28" s="993"/>
      <c r="Q28" s="993"/>
      <c r="R28" s="993"/>
      <c r="S28" s="993"/>
      <c r="T28" s="993"/>
      <c r="U28" s="993"/>
      <c r="V28" s="993"/>
      <c r="W28" s="993"/>
      <c r="X28" s="993"/>
      <c r="Y28" s="993"/>
      <c r="Z28" s="993"/>
      <c r="AA28" s="993"/>
      <c r="AB28" s="901"/>
    </row>
    <row r="29" ht="14.5" customHeight="1" spans="1:28">
      <c r="A29" s="992"/>
      <c r="B29" s="901"/>
      <c r="D29" s="993"/>
      <c r="E29" s="993"/>
      <c r="F29" s="994"/>
      <c r="G29" s="993"/>
      <c r="H29" s="995"/>
      <c r="I29" s="920"/>
      <c r="K29" s="993"/>
      <c r="L29" s="993"/>
      <c r="M29" s="993"/>
      <c r="N29" s="993"/>
      <c r="O29" s="993"/>
      <c r="P29" s="993"/>
      <c r="Q29" s="993"/>
      <c r="R29" s="993"/>
      <c r="S29" s="993"/>
      <c r="T29" s="993"/>
      <c r="U29" s="993"/>
      <c r="V29" s="993"/>
      <c r="W29" s="993"/>
      <c r="X29" s="993"/>
      <c r="Y29" s="993"/>
      <c r="Z29" s="993"/>
      <c r="AA29" s="993"/>
      <c r="AB29" s="901"/>
    </row>
    <row r="30" ht="14.5" customHeight="1" spans="1:28">
      <c r="A30" s="992"/>
      <c r="B30" s="901"/>
      <c r="D30" s="993"/>
      <c r="E30" s="993"/>
      <c r="F30" s="994"/>
      <c r="G30" s="993"/>
      <c r="H30" s="993"/>
      <c r="I30" s="993"/>
      <c r="K30" s="993"/>
      <c r="L30" s="993"/>
      <c r="M30" s="993"/>
      <c r="N30" s="993"/>
      <c r="P30" s="993"/>
      <c r="Q30" s="993"/>
      <c r="R30" s="993"/>
      <c r="S30" s="993"/>
      <c r="T30" s="993"/>
      <c r="U30" s="993"/>
      <c r="V30" s="993"/>
      <c r="W30" s="993"/>
      <c r="X30" s="993"/>
      <c r="Y30" s="993"/>
      <c r="Z30" s="993"/>
      <c r="AA30" s="993"/>
      <c r="AB30" s="901"/>
    </row>
    <row r="31" ht="14.5" customHeight="1" spans="1:28">
      <c r="A31" s="992"/>
      <c r="B31" s="901"/>
      <c r="D31" s="993"/>
      <c r="E31" s="993"/>
      <c r="F31" s="994"/>
      <c r="G31" s="993"/>
      <c r="H31" s="993"/>
      <c r="I31" s="993"/>
      <c r="K31" s="993"/>
      <c r="L31" s="993"/>
      <c r="M31" s="993"/>
      <c r="N31" s="993"/>
      <c r="O31" s="993"/>
      <c r="P31" s="993"/>
      <c r="Q31" s="993"/>
      <c r="R31" s="993"/>
      <c r="S31" s="993"/>
      <c r="T31" s="993"/>
      <c r="U31" s="993"/>
      <c r="V31" s="993"/>
      <c r="W31" s="993"/>
      <c r="X31" s="993"/>
      <c r="Y31" s="993"/>
      <c r="Z31" s="993"/>
      <c r="AA31" s="996"/>
      <c r="AB31" s="901"/>
    </row>
    <row r="32" ht="14.5" customHeight="1" spans="1:28">
      <c r="A32" s="992"/>
      <c r="B32" s="901"/>
      <c r="D32" s="993"/>
      <c r="E32" s="993"/>
      <c r="F32" s="994"/>
      <c r="G32" s="993"/>
      <c r="H32" s="993"/>
      <c r="I32" s="993"/>
      <c r="K32" s="993"/>
      <c r="L32" s="993"/>
      <c r="M32" s="993"/>
      <c r="N32" s="993"/>
      <c r="O32" s="993"/>
      <c r="P32" s="993"/>
      <c r="Q32" s="993"/>
      <c r="R32" s="993"/>
      <c r="S32" s="993"/>
      <c r="T32" s="993"/>
      <c r="U32" s="993"/>
      <c r="V32" s="993"/>
      <c r="W32" s="993"/>
      <c r="X32" s="993"/>
      <c r="Y32" s="993"/>
      <c r="Z32" s="993"/>
      <c r="AA32" s="993"/>
      <c r="AB32" s="901"/>
    </row>
    <row r="33" ht="14.5" customHeight="1" spans="1:28">
      <c r="A33" s="992"/>
      <c r="B33" s="901"/>
      <c r="D33" s="993"/>
      <c r="E33" s="993"/>
      <c r="F33" s="994"/>
      <c r="G33" s="993"/>
      <c r="H33" s="993"/>
      <c r="I33" s="993"/>
      <c r="K33" s="993"/>
      <c r="L33" s="993"/>
      <c r="M33" s="993"/>
      <c r="N33" s="993"/>
      <c r="O33" s="993"/>
      <c r="P33" s="993"/>
      <c r="Q33" s="993"/>
      <c r="R33" s="993"/>
      <c r="S33" s="993"/>
      <c r="T33" s="993"/>
      <c r="U33" s="993"/>
      <c r="V33" s="993"/>
      <c r="W33" s="993"/>
      <c r="X33" s="993"/>
      <c r="Y33" s="993"/>
      <c r="Z33" s="993"/>
      <c r="AA33" s="993"/>
      <c r="AB33" s="901"/>
    </row>
  </sheetData>
  <conditionalFormatting sqref="R1:R2">
    <cfRule type="containsText" dxfId="14" priority="80" stopIfTrue="1" operator="between" text="Accrual">
      <formula>NOT(ISERROR(SEARCH("Accrual",R1)))</formula>
    </cfRule>
  </conditionalFormatting>
  <conditionalFormatting sqref="R3:R25">
    <cfRule type="containsText" dxfId="11" priority="1" stopIfTrue="1" operator="between" text="Paying">
      <formula>NOT(ISERROR(SEARCH("Paying",R3)))</formula>
    </cfRule>
    <cfRule type="containsText" dxfId="12" priority="2" stopIfTrue="1" operator="between" text="Approved">
      <formula>NOT(ISERROR(SEARCH("Approved",R3)))</formula>
    </cfRule>
    <cfRule type="containsText" dxfId="13" priority="3" stopIfTrue="1" operator="between" text="Paying">
      <formula>NOT(ISERROR(SEARCH("Paying",R3)))</formula>
    </cfRule>
    <cfRule type="containsText" dxfId="5" priority="4" stopIfTrue="1" operator="between" text="Uploaded">
      <formula>NOT(ISERROR(SEARCH("Uploaded",R3)))</formula>
    </cfRule>
    <cfRule type="containsText" dxfId="3" priority="5" stopIfTrue="1" operator="between" text="Received">
      <formula>NOT(ISERROR(SEARCH("Received",R3)))</formula>
    </cfRule>
    <cfRule type="containsText" dxfId="2" priority="6" stopIfTrue="1" operator="between" text="Completed">
      <formula>NOT(ISERROR(SEARCH("Completed",R3)))</formula>
    </cfRule>
    <cfRule type="cellIs" dxfId="4" priority="7" stopIfTrue="1" operator="equal">
      <formula>"Receiving"</formula>
    </cfRule>
  </conditionalFormatting>
  <dataValidations count="1">
    <dataValidation type="list" allowBlank="1" showInputMessage="1" showErrorMessage="1" sqref="R3:R25">
      <formula1>$V$1:$AA$1</formula1>
    </dataValidation>
  </dataValidations>
  <hyperlinks>
    <hyperlink ref="T14" r:id="rId1" display="8月份客餐费用支出.pdf"/>
    <hyperlink ref="T15" r:id="rId2" display="8月份船员伙食费用支出.pdf"/>
    <hyperlink ref="T16" r:id="rId3" display="HOMONHON张善钧购药支出.pdf"/>
    <hyperlink ref="T17" r:id="rId4" display="PAYMENT LIST OF V2605 HOLD CLEANING BONUS.pdf"/>
    <hyperlink ref="T18" r:id="rId5" display="CTM 50000USD RECEIPT.pdf"/>
    <hyperlink ref="T19" r:id="rId6" display="改船籍港特殊劳务费200美元.pdf"/>
    <hyperlink ref="T21" r:id="rId7" display="LR 两名船检猫的登离船代理费用支出.pdf"/>
    <hyperlink ref="T22" r:id="rId8" display="GMDSS年检工程师登离轮代理费支出.pdf"/>
    <hyperlink ref="T24" r:id="rId9" display="制作两枚船章.pdf"/>
    <hyperlink ref="T23" r:id="rId10" display="Gresik加淡水100吨.pdf"/>
    <hyperlink ref="T25" r:id="rId11" display="备用金收据14815USD.pdf"/>
    <hyperlink ref="T4" r:id="rId12" display="9月份客餐费用支出249美元.pdf"/>
    <hyperlink ref="T5" r:id="rId13" display="2026年9月份伙食费收据5592美元.pdf"/>
    <hyperlink ref="T6" r:id="rId14" display="柯凯敏青岛就医及路费支出149美元.pdf"/>
    <hyperlink ref="T7" r:id="rId15" display="678月自修奖金支出3000美元.pdf"/>
    <hyperlink ref="T8" r:id="rId16" display="青岛代理收SPRO 费用300美元.pdf"/>
    <hyperlink ref="T9" r:id="rId17" display="青岛购买Bonded Store香烟1010美元.pdf"/>
    <hyperlink ref="T10" r:id="rId18" display="日照购买Bonded Store酒水等支出293美元.pdf"/>
    <hyperlink ref="T11" r:id="rId19" display="机务访船代理费120美元.pdf"/>
    <hyperlink ref="T12" r:id="rId20" display="岚桥加淡水费用1400美元.pdf"/>
    <hyperlink ref="T13" r:id="rId21" display="海事海关系统更改费用375美元.pdf"/>
    <hyperlink ref="T20" r:id="rId22" display="7月份原船管伙食欠款1544美元收据"/>
  </hyperlink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K72"/>
  <sheetViews>
    <sheetView zoomScale="70" zoomScaleNormal="70" topLeftCell="A2" workbookViewId="0">
      <selection activeCell="B6" sqref="B6"/>
    </sheetView>
  </sheetViews>
  <sheetFormatPr defaultColWidth="8.72727272727273" defaultRowHeight="12.5"/>
  <cols>
    <col min="1" max="1" width="8.81818181818182" style="320" customWidth="1"/>
    <col min="2" max="2" width="61.5454545454545" customWidth="1"/>
    <col min="3" max="3" width="12.4545454545455" customWidth="1"/>
    <col min="4" max="4" width="47.4545454545455" style="117" customWidth="1"/>
    <col min="5" max="5" width="12.4545454545455" style="465" customWidth="1"/>
    <col min="6" max="6" width="57.0909090909091" customWidth="1"/>
    <col min="7" max="7" width="12.0909090909091" customWidth="1"/>
    <col min="8" max="8" width="10.7272727272727" customWidth="1"/>
    <col min="9" max="9" width="17.5454545454545" customWidth="1"/>
    <col min="10" max="10" width="13.5454545454545" style="676" customWidth="1"/>
    <col min="11" max="11" width="9.81818181818182" customWidth="1"/>
    <col min="12" max="12" width="18.3636363636364" customWidth="1"/>
    <col min="13" max="13" width="20.8181818181818" customWidth="1"/>
    <col min="14" max="14" width="11.2727272727273" customWidth="1"/>
    <col min="15" max="15" width="9.81818181818182" customWidth="1"/>
    <col min="16" max="16" width="8.27272727272727" customWidth="1"/>
    <col min="17" max="17" width="12.0909090909091" customWidth="1"/>
    <col min="18" max="18" width="9.27272727272727" customWidth="1"/>
    <col min="19" max="19" width="15.0909090909091" customWidth="1"/>
    <col min="20" max="20" width="12.2727272727273" style="466" customWidth="1"/>
    <col min="21" max="21" width="70.0909090909091" customWidth="1"/>
    <col min="22" max="22" width="82.2727272727273" customWidth="1"/>
    <col min="23" max="24" width="9.45454545454546" customWidth="1"/>
    <col min="25" max="25" width="10.5454545454545" customWidth="1"/>
    <col min="26" max="26" width="9.63636363636364" customWidth="1"/>
    <col min="27" max="27" width="7.09090909090909" customWidth="1"/>
    <col min="28" max="28" width="11.6363636363636" customWidth="1"/>
    <col min="29" max="29" width="11.9090909090909" customWidth="1"/>
  </cols>
  <sheetData>
    <row r="1" ht="13.75" spans="1:30">
      <c r="A1" s="677" t="s">
        <v>144</v>
      </c>
      <c r="B1" s="137" t="s">
        <v>145</v>
      </c>
      <c r="C1" s="137" t="s">
        <v>146</v>
      </c>
      <c r="D1" s="323" t="s">
        <v>147</v>
      </c>
      <c r="E1" s="241" t="s">
        <v>148</v>
      </c>
      <c r="F1" s="241" t="s">
        <v>188</v>
      </c>
      <c r="G1" s="241" t="s">
        <v>149</v>
      </c>
      <c r="H1" s="241" t="s">
        <v>150</v>
      </c>
      <c r="I1" s="241" t="s">
        <v>189</v>
      </c>
      <c r="J1" s="321" t="s">
        <v>190</v>
      </c>
      <c r="K1" s="241" t="s">
        <v>191</v>
      </c>
      <c r="L1" s="240" t="s">
        <v>192</v>
      </c>
      <c r="M1" s="239" t="s">
        <v>193</v>
      </c>
      <c r="N1" s="242" t="s">
        <v>194</v>
      </c>
      <c r="O1" s="242" t="s">
        <v>195</v>
      </c>
      <c r="P1" s="242" t="s">
        <v>196</v>
      </c>
      <c r="Q1" s="137" t="s">
        <v>197</v>
      </c>
      <c r="R1" s="240" t="s">
        <v>198</v>
      </c>
      <c r="S1" s="240" t="s">
        <v>199</v>
      </c>
      <c r="T1" s="678" t="s">
        <v>156</v>
      </c>
      <c r="U1" s="219" t="s">
        <v>200</v>
      </c>
      <c r="V1" s="679" t="s">
        <v>201</v>
      </c>
      <c r="W1" s="326" t="s">
        <v>82</v>
      </c>
      <c r="X1" s="247" t="s">
        <v>83</v>
      </c>
      <c r="Y1" s="246" t="s">
        <v>84</v>
      </c>
      <c r="Z1" s="246" t="s">
        <v>85</v>
      </c>
      <c r="AA1" s="246" t="s">
        <v>86</v>
      </c>
      <c r="AB1" s="248" t="s">
        <v>87</v>
      </c>
      <c r="AD1" s="119"/>
    </row>
    <row r="2" ht="13" spans="1:30">
      <c r="A2" s="680"/>
      <c r="B2" s="681"/>
      <c r="C2" s="682" t="s">
        <v>83</v>
      </c>
      <c r="D2" s="683" t="s">
        <v>84</v>
      </c>
      <c r="E2" s="684" t="s">
        <v>85</v>
      </c>
      <c r="F2" s="683"/>
      <c r="G2" s="683" t="s">
        <v>86</v>
      </c>
      <c r="H2" s="684" t="s">
        <v>87</v>
      </c>
      <c r="I2" s="334">
        <f>SUM($I$4:I161)</f>
        <v>371476.961018376</v>
      </c>
      <c r="J2" s="334"/>
      <c r="K2" s="334"/>
      <c r="L2" s="334">
        <f>SUM($L$4:L161)</f>
        <v>371476.961018376</v>
      </c>
      <c r="M2" s="334">
        <f>SUM($M$4:M161)</f>
        <v>371321.301018376</v>
      </c>
      <c r="N2" s="334">
        <f>SUM(N3:N154)</f>
        <v>0</v>
      </c>
      <c r="O2" s="334">
        <f>SUM(O3:O154)</f>
        <v>0</v>
      </c>
      <c r="P2" s="334">
        <f>SUM(P3:P154)</f>
        <v>0</v>
      </c>
      <c r="Q2" s="685"/>
      <c r="R2" s="685"/>
      <c r="S2" s="685"/>
      <c r="T2" s="686">
        <f>SUM(T3:T114)</f>
        <v>920.53</v>
      </c>
      <c r="U2" s="687"/>
      <c r="V2" s="688" t="s">
        <v>202</v>
      </c>
      <c r="W2" s="689">
        <f t="shared" ref="W2:AB2" si="0">SUM(W4:W114)</f>
        <v>6868.04</v>
      </c>
      <c r="X2" s="690">
        <f t="shared" si="0"/>
        <v>0</v>
      </c>
      <c r="Y2" s="690">
        <f t="shared" si="0"/>
        <v>108730.19902</v>
      </c>
      <c r="Z2" s="690">
        <f t="shared" si="0"/>
        <v>0</v>
      </c>
      <c r="AA2" s="690">
        <f t="shared" si="0"/>
        <v>0</v>
      </c>
      <c r="AB2" s="691">
        <f t="shared" si="0"/>
        <v>192452.061998376</v>
      </c>
      <c r="AC2" s="466">
        <f>SUM(W2:AB2)+T2</f>
        <v>308970.831018376</v>
      </c>
      <c r="AD2" s="119"/>
    </row>
    <row r="3" spans="1:30">
      <c r="A3" s="692">
        <v>46265</v>
      </c>
      <c r="B3" s="693" t="s">
        <v>422</v>
      </c>
      <c r="C3" s="694"/>
      <c r="D3" s="695" t="s">
        <v>103</v>
      </c>
      <c r="E3" s="696"/>
      <c r="F3" s="697"/>
      <c r="G3" s="697">
        <f>'CTM Expenses List'!AA2</f>
        <v>29908</v>
      </c>
      <c r="H3" s="698">
        <v>1</v>
      </c>
      <c r="I3" s="699">
        <f>-G3</f>
        <v>-29908</v>
      </c>
      <c r="J3" s="700">
        <v>6000007</v>
      </c>
      <c r="K3" s="701">
        <v>46265</v>
      </c>
      <c r="L3" s="699">
        <f>I3</f>
        <v>-29908</v>
      </c>
      <c r="M3" s="699">
        <f>L3</f>
        <v>-29908</v>
      </c>
      <c r="N3" s="702"/>
      <c r="O3" s="696"/>
      <c r="P3" s="696"/>
      <c r="Q3" s="703"/>
      <c r="R3" s="704"/>
      <c r="S3" s="705" t="s">
        <v>87</v>
      </c>
      <c r="T3" s="697"/>
      <c r="U3" s="706"/>
      <c r="V3" s="707"/>
      <c r="W3" s="708" t="str">
        <f>IF(S3="Receiving",M3,"")</f>
        <v/>
      </c>
      <c r="X3" s="709" t="str">
        <f>IF(S3="Received",M3,"")</f>
        <v/>
      </c>
      <c r="Y3" s="709" t="str">
        <f>IF(S3="Approved",M3,"")</f>
        <v/>
      </c>
      <c r="Z3" s="709" t="str">
        <f>IF(S3="Paying",M3,"")</f>
        <v/>
      </c>
      <c r="AA3" s="709" t="str">
        <f>IF(S3="Paying",M3,"")</f>
        <v/>
      </c>
      <c r="AB3" s="710">
        <f>IF(S3="Completed",M3,"")</f>
        <v>-29908</v>
      </c>
      <c r="AC3" s="675"/>
      <c r="AD3" s="675"/>
    </row>
    <row r="4" spans="1:30">
      <c r="A4" s="711"/>
      <c r="B4" s="712"/>
      <c r="C4" s="712"/>
      <c r="D4" s="713"/>
      <c r="E4" s="714"/>
      <c r="F4" s="712"/>
      <c r="G4" s="712"/>
      <c r="H4" s="712"/>
      <c r="I4" s="712"/>
      <c r="J4" s="715"/>
      <c r="K4" s="712"/>
      <c r="L4" s="712"/>
      <c r="M4" s="712"/>
      <c r="N4" s="712"/>
      <c r="O4" s="712"/>
      <c r="P4" s="712"/>
      <c r="Q4" s="712"/>
      <c r="R4" s="712"/>
      <c r="S4" s="712"/>
      <c r="T4" s="716"/>
      <c r="U4" s="717"/>
      <c r="V4" s="712"/>
      <c r="W4" s="718"/>
      <c r="X4" s="719"/>
      <c r="Y4" s="720"/>
      <c r="Z4" s="721"/>
      <c r="AA4" s="721"/>
      <c r="AB4" s="722" t="str">
        <f>IF(S4="Completed",M4,"")</f>
        <v/>
      </c>
      <c r="AC4" s="675"/>
      <c r="AD4" s="675"/>
    </row>
    <row r="5" spans="1:30">
      <c r="A5" s="723">
        <v>46309</v>
      </c>
      <c r="B5" s="724" t="s">
        <v>205</v>
      </c>
      <c r="C5" s="725"/>
      <c r="D5" s="724" t="s">
        <v>206</v>
      </c>
      <c r="E5" s="725"/>
      <c r="F5" s="726"/>
      <c r="G5" s="726">
        <v>77881.96</v>
      </c>
      <c r="H5" s="727">
        <v>1</v>
      </c>
      <c r="I5" s="728">
        <f>G5*H5</f>
        <v>77881.96</v>
      </c>
      <c r="J5" s="729">
        <v>1000001</v>
      </c>
      <c r="K5" s="730">
        <f>A5</f>
        <v>46309</v>
      </c>
      <c r="L5" s="728">
        <f>I5</f>
        <v>77881.96</v>
      </c>
      <c r="M5" s="728">
        <f>L5</f>
        <v>77881.96</v>
      </c>
      <c r="N5" s="724"/>
      <c r="O5" s="724"/>
      <c r="P5" s="724"/>
      <c r="Q5" s="730"/>
      <c r="R5" s="730"/>
      <c r="S5" s="725" t="s">
        <v>84</v>
      </c>
      <c r="T5" s="716"/>
      <c r="U5" s="717"/>
      <c r="V5" s="731" t="s">
        <v>423</v>
      </c>
      <c r="W5" s="718"/>
      <c r="X5" s="719"/>
      <c r="Y5" s="720">
        <f>IF(S5="Received",M5,"")</f>
        <v>77881.96</v>
      </c>
      <c r="Z5" s="721"/>
      <c r="AA5" s="721"/>
      <c r="AB5" s="722" t="str">
        <f>IF(S5="Completed",M5,"")</f>
        <v/>
      </c>
      <c r="AC5" s="675"/>
      <c r="AD5" s="675"/>
    </row>
    <row r="6" spans="1:30">
      <c r="A6" s="732">
        <v>46295</v>
      </c>
      <c r="B6" s="733" t="s">
        <v>424</v>
      </c>
      <c r="C6" s="714"/>
      <c r="D6" s="712" t="s">
        <v>208</v>
      </c>
      <c r="E6" s="714"/>
      <c r="F6" s="734"/>
      <c r="G6" s="734">
        <v>2600</v>
      </c>
      <c r="H6" s="735">
        <v>1</v>
      </c>
      <c r="I6" s="736">
        <f t="shared" ref="I6:I16" si="1">G6*H6</f>
        <v>2600</v>
      </c>
      <c r="J6" s="712"/>
      <c r="K6" s="737"/>
      <c r="L6" s="736">
        <f t="shared" ref="L6:L16" si="2">I6</f>
        <v>2600</v>
      </c>
      <c r="M6" s="736">
        <f>I6</f>
        <v>2600</v>
      </c>
      <c r="N6" s="712"/>
      <c r="O6" s="712"/>
      <c r="P6" s="712"/>
      <c r="Q6" s="737"/>
      <c r="R6" s="737"/>
      <c r="S6" s="714" t="s">
        <v>87</v>
      </c>
      <c r="T6" s="738">
        <v>20</v>
      </c>
      <c r="U6" s="739" t="s">
        <v>425</v>
      </c>
      <c r="V6" s="712"/>
      <c r="W6" s="718"/>
      <c r="X6" s="719"/>
      <c r="Y6" s="720" t="str">
        <f>IF(S6="Received",M6,"")</f>
        <v/>
      </c>
      <c r="Z6" s="721"/>
      <c r="AA6" s="721"/>
      <c r="AB6" s="722">
        <f t="shared" ref="AB6:AB16" si="3">IF(S6="Completed",M6,"")</f>
        <v>2600</v>
      </c>
      <c r="AC6" s="675"/>
      <c r="AD6" s="675"/>
    </row>
    <row r="7" spans="1:30">
      <c r="A7" s="732">
        <v>46295</v>
      </c>
      <c r="B7" s="740" t="s">
        <v>426</v>
      </c>
      <c r="C7" s="741"/>
      <c r="D7" s="742" t="s">
        <v>79</v>
      </c>
      <c r="E7" s="743"/>
      <c r="F7" s="712"/>
      <c r="G7" s="744">
        <v>5592</v>
      </c>
      <c r="H7" s="735">
        <v>1</v>
      </c>
      <c r="I7" s="736">
        <f t="shared" si="1"/>
        <v>5592</v>
      </c>
      <c r="J7" s="714">
        <v>1000002</v>
      </c>
      <c r="K7" s="737">
        <f>A7</f>
        <v>46295</v>
      </c>
      <c r="L7" s="736">
        <f t="shared" si="2"/>
        <v>5592</v>
      </c>
      <c r="M7" s="736">
        <f>I7</f>
        <v>5592</v>
      </c>
      <c r="N7" s="712"/>
      <c r="O7" s="712"/>
      <c r="P7" s="712"/>
      <c r="Q7" s="737"/>
      <c r="R7" s="737"/>
      <c r="S7" s="745" t="s">
        <v>87</v>
      </c>
      <c r="T7" s="716"/>
      <c r="U7" s="717"/>
      <c r="V7" s="746" t="s">
        <v>398</v>
      </c>
      <c r="W7" s="721" t="str">
        <f>IF(S7="Accrual",M7,"")</f>
        <v/>
      </c>
      <c r="X7" s="719" t="str">
        <f>IF(S7="Receiving",M7,"")</f>
        <v/>
      </c>
      <c r="Y7" s="720" t="str">
        <f>IF(S7="Received",M7,"")</f>
        <v/>
      </c>
      <c r="Z7" s="721" t="str">
        <f>IF(S7="Approved",M7,"")</f>
        <v/>
      </c>
      <c r="AA7" s="721" t="str">
        <f>IF(S7="Paying",M7,"")</f>
        <v/>
      </c>
      <c r="AB7" s="722">
        <f t="shared" si="3"/>
        <v>5592</v>
      </c>
      <c r="AC7" s="675"/>
      <c r="AD7" s="675"/>
    </row>
    <row r="8" spans="1:30">
      <c r="A8" s="732">
        <v>46293</v>
      </c>
      <c r="B8" s="712" t="s">
        <v>427</v>
      </c>
      <c r="C8" s="714"/>
      <c r="D8" s="712" t="s">
        <v>214</v>
      </c>
      <c r="E8" s="714"/>
      <c r="F8" s="734"/>
      <c r="G8" s="747">
        <v>-9500</v>
      </c>
      <c r="H8" s="735">
        <v>1</v>
      </c>
      <c r="I8" s="736">
        <f t="shared" si="1"/>
        <v>-9500</v>
      </c>
      <c r="J8" s="712"/>
      <c r="K8" s="737"/>
      <c r="L8" s="736">
        <f t="shared" si="2"/>
        <v>-9500</v>
      </c>
      <c r="M8" s="736">
        <f>I8</f>
        <v>-9500</v>
      </c>
      <c r="N8" s="712"/>
      <c r="O8" s="712"/>
      <c r="P8" s="712"/>
      <c r="Q8" s="737"/>
      <c r="R8" s="737"/>
      <c r="S8" s="714" t="s">
        <v>87</v>
      </c>
      <c r="T8" s="734">
        <v>-20</v>
      </c>
      <c r="U8" s="717"/>
      <c r="V8" s="712"/>
      <c r="W8" s="748"/>
      <c r="X8" s="720"/>
      <c r="Y8" s="720" t="str">
        <f>IF(S8="Received",M8,"")</f>
        <v/>
      </c>
      <c r="Z8" s="721"/>
      <c r="AA8" s="721"/>
      <c r="AB8" s="722">
        <f t="shared" si="3"/>
        <v>-9500</v>
      </c>
      <c r="AC8" s="749"/>
      <c r="AD8" s="675"/>
    </row>
    <row r="9" spans="1:30">
      <c r="A9" s="732">
        <v>46293</v>
      </c>
      <c r="B9" s="712" t="s">
        <v>428</v>
      </c>
      <c r="C9" s="714"/>
      <c r="D9" s="712" t="s">
        <v>214</v>
      </c>
      <c r="E9" s="714"/>
      <c r="F9" s="734"/>
      <c r="G9" s="734">
        <v>9500</v>
      </c>
      <c r="H9" s="735">
        <v>1</v>
      </c>
      <c r="I9" s="736">
        <f t="shared" si="1"/>
        <v>9500</v>
      </c>
      <c r="J9" s="715"/>
      <c r="K9" s="737"/>
      <c r="L9" s="736">
        <f t="shared" si="2"/>
        <v>9500</v>
      </c>
      <c r="M9" s="736">
        <f t="shared" ref="M9:M16" si="4">L9</f>
        <v>9500</v>
      </c>
      <c r="N9" s="712"/>
      <c r="O9" s="712"/>
      <c r="P9" s="712"/>
      <c r="Q9" s="737"/>
      <c r="R9" s="737"/>
      <c r="S9" s="714" t="s">
        <v>87</v>
      </c>
      <c r="T9" s="734">
        <v>20</v>
      </c>
      <c r="U9" s="717"/>
      <c r="V9" s="712"/>
      <c r="W9" s="721" t="str">
        <f t="shared" ref="W9:W16" si="5">IF(S9="Accrual",M9,"")</f>
        <v/>
      </c>
      <c r="X9" s="719" t="str">
        <f t="shared" ref="X9:X16" si="6">IF(S9="Receiving",M9,"")</f>
        <v/>
      </c>
      <c r="Y9" s="720" t="str">
        <f t="shared" ref="Y9:Y16" si="7">IF(S9="Received",M9,"")</f>
        <v/>
      </c>
      <c r="Z9" s="721" t="str">
        <f t="shared" ref="Z9:Z16" si="8">IF(S9="Approved",M9,"")</f>
        <v/>
      </c>
      <c r="AA9" s="721" t="str">
        <f t="shared" ref="AA9:AA16" si="9">IF(S9="Paying",M9,"")</f>
        <v/>
      </c>
      <c r="AB9" s="722">
        <f t="shared" si="3"/>
        <v>9500</v>
      </c>
      <c r="AC9" s="675"/>
      <c r="AD9" s="675"/>
    </row>
    <row r="10" spans="1:30">
      <c r="A10" s="732">
        <v>46289</v>
      </c>
      <c r="B10" s="712" t="s">
        <v>429</v>
      </c>
      <c r="C10" s="714"/>
      <c r="D10" s="750" t="s">
        <v>430</v>
      </c>
      <c r="E10" s="714"/>
      <c r="F10" s="734"/>
      <c r="G10" s="751">
        <v>8487.98</v>
      </c>
      <c r="H10" s="735">
        <v>0.149</v>
      </c>
      <c r="I10" s="736">
        <f t="shared" si="1"/>
        <v>1264.70902</v>
      </c>
      <c r="J10" s="713">
        <v>6000017</v>
      </c>
      <c r="K10" s="737"/>
      <c r="L10" s="736">
        <f t="shared" si="2"/>
        <v>1264.70902</v>
      </c>
      <c r="M10" s="736">
        <f t="shared" si="4"/>
        <v>1264.70902</v>
      </c>
      <c r="N10" s="752"/>
      <c r="O10" s="752"/>
      <c r="P10" s="752"/>
      <c r="Q10" s="753"/>
      <c r="R10" s="753"/>
      <c r="S10" s="714" t="s">
        <v>84</v>
      </c>
      <c r="T10" s="738"/>
      <c r="U10" s="754"/>
      <c r="V10" s="746" t="s">
        <v>431</v>
      </c>
      <c r="W10" s="721" t="str">
        <f t="shared" si="5"/>
        <v/>
      </c>
      <c r="X10" s="719" t="str">
        <f t="shared" si="6"/>
        <v/>
      </c>
      <c r="Y10" s="720">
        <f t="shared" si="7"/>
        <v>1264.70902</v>
      </c>
      <c r="Z10" s="721" t="str">
        <f t="shared" si="8"/>
        <v/>
      </c>
      <c r="AA10" s="721" t="str">
        <f t="shared" si="9"/>
        <v/>
      </c>
      <c r="AB10" s="722" t="str">
        <f t="shared" si="3"/>
        <v/>
      </c>
      <c r="AC10" s="675"/>
      <c r="AD10" s="675"/>
    </row>
    <row r="11" spans="1:30">
      <c r="A11" s="755">
        <v>46289</v>
      </c>
      <c r="B11" s="756" t="s">
        <v>432</v>
      </c>
      <c r="C11" s="757"/>
      <c r="D11" s="758" t="s">
        <v>214</v>
      </c>
      <c r="E11" s="757"/>
      <c r="F11" s="759"/>
      <c r="G11" s="760">
        <f>157197.89+70000</f>
        <v>227197.89</v>
      </c>
      <c r="H11" s="761">
        <v>0.14937855276022</v>
      </c>
      <c r="I11" s="762">
        <f t="shared" si="1"/>
        <v>33938.4919983757</v>
      </c>
      <c r="J11" s="763">
        <v>6000016</v>
      </c>
      <c r="K11" s="764"/>
      <c r="L11" s="765">
        <f t="shared" si="2"/>
        <v>33938.4919983757</v>
      </c>
      <c r="M11" s="765">
        <f t="shared" si="4"/>
        <v>33938.4919983757</v>
      </c>
      <c r="N11" s="758"/>
      <c r="O11" s="758"/>
      <c r="P11" s="758"/>
      <c r="Q11" s="764"/>
      <c r="R11" s="764"/>
      <c r="S11" s="757" t="s">
        <v>87</v>
      </c>
      <c r="T11" s="766">
        <v>120</v>
      </c>
      <c r="U11" s="767" t="s">
        <v>433</v>
      </c>
      <c r="V11" s="768" t="s">
        <v>434</v>
      </c>
      <c r="W11" s="769" t="str">
        <f t="shared" si="5"/>
        <v/>
      </c>
      <c r="X11" s="770" t="str">
        <f t="shared" si="6"/>
        <v/>
      </c>
      <c r="Y11" s="771" t="str">
        <f t="shared" si="7"/>
        <v/>
      </c>
      <c r="Z11" s="772" t="str">
        <f t="shared" si="8"/>
        <v/>
      </c>
      <c r="AA11" s="772" t="str">
        <f t="shared" si="9"/>
        <v/>
      </c>
      <c r="AB11" s="773">
        <f t="shared" si="3"/>
        <v>33938.4919983757</v>
      </c>
      <c r="AC11" s="675"/>
      <c r="AD11" s="675"/>
    </row>
    <row r="12" s="119" customFormat="1" ht="13" spans="1:30">
      <c r="A12" s="732">
        <v>46286</v>
      </c>
      <c r="B12" s="740" t="s">
        <v>435</v>
      </c>
      <c r="C12" s="741"/>
      <c r="D12" s="742" t="s">
        <v>79</v>
      </c>
      <c r="E12" s="743"/>
      <c r="F12" s="712"/>
      <c r="G12" s="744">
        <v>1000</v>
      </c>
      <c r="H12" s="735">
        <v>1</v>
      </c>
      <c r="I12" s="736">
        <f t="shared" si="1"/>
        <v>1000</v>
      </c>
      <c r="J12" s="713">
        <v>10000007</v>
      </c>
      <c r="K12" s="737">
        <f>A12</f>
        <v>46286</v>
      </c>
      <c r="L12" s="736">
        <f t="shared" si="2"/>
        <v>1000</v>
      </c>
      <c r="M12" s="736">
        <f t="shared" si="4"/>
        <v>1000</v>
      </c>
      <c r="N12" s="712"/>
      <c r="O12" s="712"/>
      <c r="P12" s="712"/>
      <c r="Q12" s="737"/>
      <c r="R12" s="737"/>
      <c r="S12" s="745" t="s">
        <v>87</v>
      </c>
      <c r="T12" s="716"/>
      <c r="U12" s="774"/>
      <c r="V12" s="775" t="s">
        <v>436</v>
      </c>
      <c r="W12" s="718" t="str">
        <f t="shared" si="5"/>
        <v/>
      </c>
      <c r="X12" s="720" t="str">
        <f t="shared" si="6"/>
        <v/>
      </c>
      <c r="Y12" s="720" t="str">
        <f t="shared" si="7"/>
        <v/>
      </c>
      <c r="Z12" s="720" t="str">
        <f t="shared" si="8"/>
        <v/>
      </c>
      <c r="AA12" s="720" t="str">
        <f t="shared" si="9"/>
        <v/>
      </c>
      <c r="AB12" s="722">
        <f t="shared" si="3"/>
        <v>1000</v>
      </c>
      <c r="AC12" s="675"/>
      <c r="AD12" s="675"/>
    </row>
    <row r="13" s="119" customFormat="1" ht="13" spans="1:30">
      <c r="A13" s="732">
        <v>46286</v>
      </c>
      <c r="B13" s="740" t="s">
        <v>437</v>
      </c>
      <c r="C13" s="741"/>
      <c r="D13" s="742" t="s">
        <v>79</v>
      </c>
      <c r="E13" s="743"/>
      <c r="F13" s="716"/>
      <c r="G13" s="744">
        <v>149</v>
      </c>
      <c r="H13" s="735">
        <v>1</v>
      </c>
      <c r="I13" s="736">
        <f t="shared" si="1"/>
        <v>149</v>
      </c>
      <c r="J13" s="713">
        <v>7000009</v>
      </c>
      <c r="K13" s="737">
        <f>A13</f>
        <v>46286</v>
      </c>
      <c r="L13" s="736">
        <f t="shared" si="2"/>
        <v>149</v>
      </c>
      <c r="M13" s="736">
        <f t="shared" si="4"/>
        <v>149</v>
      </c>
      <c r="N13" s="712"/>
      <c r="O13" s="712"/>
      <c r="P13" s="712"/>
      <c r="Q13" s="737"/>
      <c r="R13" s="737"/>
      <c r="S13" s="745" t="s">
        <v>87</v>
      </c>
      <c r="T13" s="716"/>
      <c r="U13" s="774"/>
      <c r="V13" s="746" t="s">
        <v>399</v>
      </c>
      <c r="W13" s="776" t="str">
        <f t="shared" si="5"/>
        <v/>
      </c>
      <c r="X13" s="777" t="str">
        <f t="shared" si="6"/>
        <v/>
      </c>
      <c r="Y13" s="777" t="str">
        <f t="shared" si="7"/>
        <v/>
      </c>
      <c r="Z13" s="777" t="str">
        <f t="shared" si="8"/>
        <v/>
      </c>
      <c r="AA13" s="777" t="str">
        <f t="shared" si="9"/>
        <v/>
      </c>
      <c r="AB13" s="778">
        <f t="shared" si="3"/>
        <v>149</v>
      </c>
      <c r="AC13" s="779"/>
      <c r="AD13" s="675"/>
    </row>
    <row r="14" spans="1:30">
      <c r="A14" s="732">
        <v>46284</v>
      </c>
      <c r="B14" s="740" t="s">
        <v>438</v>
      </c>
      <c r="C14" s="741"/>
      <c r="D14" s="742" t="s">
        <v>79</v>
      </c>
      <c r="E14" s="743"/>
      <c r="F14" s="712"/>
      <c r="G14" s="744">
        <v>300</v>
      </c>
      <c r="H14" s="735">
        <v>1</v>
      </c>
      <c r="I14" s="736">
        <f t="shared" si="1"/>
        <v>300</v>
      </c>
      <c r="J14" s="713">
        <v>6000001</v>
      </c>
      <c r="K14" s="737">
        <f>A14</f>
        <v>46284</v>
      </c>
      <c r="L14" s="736">
        <f t="shared" si="2"/>
        <v>300</v>
      </c>
      <c r="M14" s="736">
        <f t="shared" si="4"/>
        <v>300</v>
      </c>
      <c r="N14" s="712"/>
      <c r="O14" s="712"/>
      <c r="P14" s="712"/>
      <c r="Q14" s="737"/>
      <c r="R14" s="737"/>
      <c r="S14" s="745" t="s">
        <v>87</v>
      </c>
      <c r="T14" s="716"/>
      <c r="U14" s="717"/>
      <c r="V14" s="746" t="s">
        <v>401</v>
      </c>
      <c r="W14" s="718" t="str">
        <f t="shared" si="5"/>
        <v/>
      </c>
      <c r="X14" s="719" t="str">
        <f t="shared" si="6"/>
        <v/>
      </c>
      <c r="Y14" s="720" t="str">
        <f t="shared" si="7"/>
        <v/>
      </c>
      <c r="Z14" s="721" t="str">
        <f t="shared" si="8"/>
        <v/>
      </c>
      <c r="AA14" s="721" t="str">
        <f t="shared" si="9"/>
        <v/>
      </c>
      <c r="AB14" s="722">
        <f t="shared" si="3"/>
        <v>300</v>
      </c>
      <c r="AC14" s="675"/>
      <c r="AD14" s="675"/>
    </row>
    <row r="15" spans="1:30">
      <c r="A15" s="732">
        <v>46284</v>
      </c>
      <c r="B15" s="740" t="s">
        <v>439</v>
      </c>
      <c r="C15" s="741"/>
      <c r="D15" s="742" t="s">
        <v>79</v>
      </c>
      <c r="E15" s="743"/>
      <c r="F15" s="712"/>
      <c r="G15" s="744">
        <v>1010</v>
      </c>
      <c r="H15" s="735">
        <v>1</v>
      </c>
      <c r="I15" s="736">
        <f t="shared" si="1"/>
        <v>1010</v>
      </c>
      <c r="J15" s="713">
        <v>6000020</v>
      </c>
      <c r="K15" s="737">
        <f>A15</f>
        <v>46284</v>
      </c>
      <c r="L15" s="736">
        <f t="shared" si="2"/>
        <v>1010</v>
      </c>
      <c r="M15" s="736">
        <f t="shared" si="4"/>
        <v>1010</v>
      </c>
      <c r="N15" s="712"/>
      <c r="O15" s="712"/>
      <c r="P15" s="712"/>
      <c r="Q15" s="737"/>
      <c r="R15" s="737"/>
      <c r="S15" s="745" t="s">
        <v>87</v>
      </c>
      <c r="T15" s="716"/>
      <c r="U15" s="717"/>
      <c r="V15" s="746" t="s">
        <v>402</v>
      </c>
      <c r="W15" s="718" t="str">
        <f t="shared" si="5"/>
        <v/>
      </c>
      <c r="X15" s="719" t="str">
        <f t="shared" si="6"/>
        <v/>
      </c>
      <c r="Y15" s="720" t="str">
        <f t="shared" si="7"/>
        <v/>
      </c>
      <c r="Z15" s="721" t="str">
        <f t="shared" si="8"/>
        <v/>
      </c>
      <c r="AA15" s="721" t="str">
        <f t="shared" si="9"/>
        <v/>
      </c>
      <c r="AB15" s="722">
        <f t="shared" si="3"/>
        <v>1010</v>
      </c>
      <c r="AC15" s="675"/>
      <c r="AD15" s="675"/>
    </row>
    <row r="16" spans="1:30">
      <c r="A16" s="732">
        <v>46283</v>
      </c>
      <c r="B16" s="740" t="s">
        <v>440</v>
      </c>
      <c r="C16" s="741"/>
      <c r="D16" s="742" t="s">
        <v>79</v>
      </c>
      <c r="E16" s="743"/>
      <c r="F16" s="712"/>
      <c r="G16" s="744">
        <v>293</v>
      </c>
      <c r="H16" s="735">
        <v>1</v>
      </c>
      <c r="I16" s="736">
        <f t="shared" si="1"/>
        <v>293</v>
      </c>
      <c r="J16" s="713">
        <v>6000020</v>
      </c>
      <c r="K16" s="737">
        <f>A16</f>
        <v>46283</v>
      </c>
      <c r="L16" s="736">
        <f t="shared" si="2"/>
        <v>293</v>
      </c>
      <c r="M16" s="736">
        <f t="shared" si="4"/>
        <v>293</v>
      </c>
      <c r="N16" s="712"/>
      <c r="O16" s="712"/>
      <c r="P16" s="712"/>
      <c r="Q16" s="737"/>
      <c r="R16" s="737"/>
      <c r="S16" s="745" t="s">
        <v>87</v>
      </c>
      <c r="T16" s="716"/>
      <c r="U16" s="717"/>
      <c r="V16" s="746" t="s">
        <v>441</v>
      </c>
      <c r="W16" s="718" t="str">
        <f t="shared" si="5"/>
        <v/>
      </c>
      <c r="X16" s="719" t="str">
        <f t="shared" si="6"/>
        <v/>
      </c>
      <c r="Y16" s="720" t="str">
        <f t="shared" si="7"/>
        <v/>
      </c>
      <c r="Z16" s="721" t="str">
        <f t="shared" si="8"/>
        <v/>
      </c>
      <c r="AA16" s="721" t="str">
        <f t="shared" si="9"/>
        <v/>
      </c>
      <c r="AB16" s="722">
        <f t="shared" si="3"/>
        <v>293</v>
      </c>
      <c r="AC16" s="779"/>
      <c r="AD16" s="780"/>
    </row>
    <row r="17" spans="1:349">
      <c r="A17" s="732"/>
      <c r="B17" s="712" t="s">
        <v>442</v>
      </c>
      <c r="C17" s="714"/>
      <c r="D17" s="712" t="s">
        <v>103</v>
      </c>
      <c r="E17" s="714"/>
      <c r="F17" s="734"/>
      <c r="G17" s="747">
        <v>-1544</v>
      </c>
      <c r="H17" s="735">
        <v>1</v>
      </c>
      <c r="I17" s="736">
        <v>-1544</v>
      </c>
      <c r="J17" s="713">
        <v>6000007</v>
      </c>
      <c r="K17" s="737"/>
      <c r="L17" s="736">
        <v>-1544</v>
      </c>
      <c r="M17" s="736">
        <v>-1544</v>
      </c>
      <c r="N17" s="712"/>
      <c r="O17" s="712"/>
      <c r="P17" s="712"/>
      <c r="Q17" s="737"/>
      <c r="R17" s="737"/>
      <c r="S17" s="714"/>
      <c r="T17" s="734"/>
      <c r="U17" s="717"/>
      <c r="V17" s="712"/>
      <c r="W17" s="718" t="str">
        <f t="shared" ref="W17:W25" si="10">IF(S17="Accrual",M17,"")</f>
        <v/>
      </c>
      <c r="X17" s="719" t="str">
        <f t="shared" ref="X17:X25" si="11">IF(S17="Receiving",M17,"")</f>
        <v/>
      </c>
      <c r="Y17" s="720" t="str">
        <f t="shared" ref="Y17:Y26" si="12">IF(S17="Received",M17,"")</f>
        <v/>
      </c>
      <c r="Z17" s="721" t="str">
        <f t="shared" ref="Z17:Z26" si="13">IF(S17="Approved",M17,"")</f>
        <v/>
      </c>
      <c r="AA17" s="721" t="str">
        <f t="shared" ref="AA17:AA26" si="14">IF(S17="Paying",M17,"")</f>
        <v/>
      </c>
      <c r="AB17" s="722" t="str">
        <f t="shared" ref="AB17:AB26" si="15">IF(S17="Completed",M17,"")</f>
        <v/>
      </c>
      <c r="AC17" s="675"/>
      <c r="AD17" s="675"/>
    </row>
    <row r="18" ht="13" spans="1:349">
      <c r="A18" s="781">
        <v>46277</v>
      </c>
      <c r="B18" s="782" t="s">
        <v>443</v>
      </c>
      <c r="C18" s="783"/>
      <c r="D18" s="782" t="s">
        <v>214</v>
      </c>
      <c r="E18" s="783"/>
      <c r="F18" s="784"/>
      <c r="G18" s="785">
        <v>298.31</v>
      </c>
      <c r="H18" s="786">
        <v>1</v>
      </c>
      <c r="I18" s="787">
        <f t="shared" ref="I18:I27" si="16">G18*H18</f>
        <v>298.31</v>
      </c>
      <c r="J18" s="788">
        <v>6000016</v>
      </c>
      <c r="K18" s="789"/>
      <c r="L18" s="787">
        <f t="shared" ref="L18:L27" si="17">I18</f>
        <v>298.31</v>
      </c>
      <c r="M18" s="787">
        <f t="shared" ref="M18:M27" si="18">L18</f>
        <v>298.31</v>
      </c>
      <c r="N18" s="782"/>
      <c r="O18" s="782"/>
      <c r="P18" s="782"/>
      <c r="Q18" s="789"/>
      <c r="R18" s="789"/>
      <c r="S18" s="783" t="s">
        <v>87</v>
      </c>
      <c r="T18" s="784"/>
      <c r="U18" s="790"/>
      <c r="V18" s="791" t="s">
        <v>444</v>
      </c>
      <c r="W18" s="769" t="str">
        <f t="shared" si="10"/>
        <v/>
      </c>
      <c r="X18" s="770" t="str">
        <f t="shared" si="11"/>
        <v/>
      </c>
      <c r="Y18" s="771" t="str">
        <f t="shared" si="12"/>
        <v/>
      </c>
      <c r="Z18" s="772" t="str">
        <f t="shared" si="13"/>
        <v/>
      </c>
      <c r="AA18" s="772" t="str">
        <f t="shared" si="14"/>
        <v/>
      </c>
      <c r="AB18" s="792">
        <f t="shared" si="15"/>
        <v>298.31</v>
      </c>
      <c r="AC18" s="675"/>
      <c r="AD18" s="675"/>
    </row>
    <row r="19" s="467" customFormat="1" spans="1:349">
      <c r="A19" s="755">
        <v>46274</v>
      </c>
      <c r="B19" s="793" t="s">
        <v>445</v>
      </c>
      <c r="C19" s="757"/>
      <c r="D19" s="758" t="s">
        <v>214</v>
      </c>
      <c r="E19" s="757"/>
      <c r="F19" s="759"/>
      <c r="G19" s="785">
        <v>522.51</v>
      </c>
      <c r="H19" s="761">
        <v>1</v>
      </c>
      <c r="I19" s="765">
        <f t="shared" si="16"/>
        <v>522.51</v>
      </c>
      <c r="J19" s="763">
        <v>6000006</v>
      </c>
      <c r="K19" s="764"/>
      <c r="L19" s="765">
        <f t="shared" si="17"/>
        <v>522.51</v>
      </c>
      <c r="M19" s="765">
        <f t="shared" si="18"/>
        <v>522.51</v>
      </c>
      <c r="N19" s="758"/>
      <c r="O19" s="758"/>
      <c r="P19" s="758"/>
      <c r="Q19" s="764"/>
      <c r="R19" s="764"/>
      <c r="S19" s="757" t="s">
        <v>87</v>
      </c>
      <c r="T19" s="759"/>
      <c r="U19" s="794"/>
      <c r="V19" s="795" t="s">
        <v>446</v>
      </c>
      <c r="W19" s="769" t="str">
        <f t="shared" si="10"/>
        <v/>
      </c>
      <c r="X19" s="770" t="str">
        <f t="shared" si="11"/>
        <v/>
      </c>
      <c r="Y19" s="771" t="str">
        <f t="shared" si="12"/>
        <v/>
      </c>
      <c r="Z19" s="772" t="str">
        <f t="shared" si="13"/>
        <v/>
      </c>
      <c r="AA19" s="772" t="str">
        <f t="shared" si="14"/>
        <v/>
      </c>
      <c r="AB19" s="792">
        <f t="shared" si="15"/>
        <v>522.51</v>
      </c>
      <c r="AC19" s="796"/>
      <c r="AD19" s="675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</row>
    <row r="20" spans="1:349">
      <c r="A20" s="797">
        <v>46269</v>
      </c>
      <c r="B20" s="712" t="s">
        <v>447</v>
      </c>
      <c r="C20" s="714"/>
      <c r="D20" s="712" t="s">
        <v>206</v>
      </c>
      <c r="E20" s="714"/>
      <c r="F20" s="734"/>
      <c r="G20" s="734">
        <v>70197.08</v>
      </c>
      <c r="H20" s="735">
        <v>1</v>
      </c>
      <c r="I20" s="736">
        <f t="shared" si="16"/>
        <v>70197.08</v>
      </c>
      <c r="J20" s="713">
        <v>1000001</v>
      </c>
      <c r="K20" s="737"/>
      <c r="L20" s="736">
        <f t="shared" si="17"/>
        <v>70197.08</v>
      </c>
      <c r="M20" s="736">
        <f t="shared" si="18"/>
        <v>70197.08</v>
      </c>
      <c r="N20" s="712"/>
      <c r="O20" s="712"/>
      <c r="P20" s="712"/>
      <c r="Q20" s="737"/>
      <c r="R20" s="737"/>
      <c r="S20" s="714" t="s">
        <v>87</v>
      </c>
      <c r="T20" s="734">
        <v>170.53</v>
      </c>
      <c r="U20" s="798" t="s">
        <v>448</v>
      </c>
      <c r="V20" s="799" t="s">
        <v>449</v>
      </c>
      <c r="W20" s="718" t="str">
        <f t="shared" si="10"/>
        <v/>
      </c>
      <c r="X20" s="719" t="str">
        <f t="shared" si="11"/>
        <v/>
      </c>
      <c r="Y20" s="720" t="str">
        <f t="shared" si="12"/>
        <v/>
      </c>
      <c r="Z20" s="721" t="str">
        <f t="shared" si="13"/>
        <v/>
      </c>
      <c r="AA20" s="721" t="str">
        <f t="shared" si="14"/>
        <v/>
      </c>
      <c r="AB20" s="722">
        <f t="shared" si="15"/>
        <v>70197.08</v>
      </c>
      <c r="AC20" s="675"/>
      <c r="AD20" s="675"/>
    </row>
    <row r="21" spans="1:349">
      <c r="A21" s="732">
        <v>46267</v>
      </c>
      <c r="B21" s="712" t="s">
        <v>450</v>
      </c>
      <c r="C21" s="714"/>
      <c r="D21" s="712" t="s">
        <v>252</v>
      </c>
      <c r="E21" s="738"/>
      <c r="F21" s="734"/>
      <c r="G21" s="734">
        <v>44.8</v>
      </c>
      <c r="H21" s="735">
        <v>1</v>
      </c>
      <c r="I21" s="736">
        <f t="shared" si="16"/>
        <v>44.8</v>
      </c>
      <c r="J21" s="713">
        <v>6000017</v>
      </c>
      <c r="K21" s="737">
        <v>46266</v>
      </c>
      <c r="L21" s="736">
        <f t="shared" si="17"/>
        <v>44.8</v>
      </c>
      <c r="M21" s="736">
        <f t="shared" si="18"/>
        <v>44.8</v>
      </c>
      <c r="N21" s="712"/>
      <c r="O21" s="712"/>
      <c r="P21" s="712"/>
      <c r="Q21" s="737">
        <v>46266</v>
      </c>
      <c r="R21" s="737">
        <v>46281</v>
      </c>
      <c r="S21" s="714" t="s">
        <v>84</v>
      </c>
      <c r="T21" s="734"/>
      <c r="U21" s="754"/>
      <c r="V21" s="775" t="s">
        <v>451</v>
      </c>
      <c r="W21" s="718" t="str">
        <f t="shared" si="10"/>
        <v/>
      </c>
      <c r="X21" s="719" t="str">
        <f t="shared" si="11"/>
        <v/>
      </c>
      <c r="Y21" s="720">
        <f t="shared" si="12"/>
        <v>44.8</v>
      </c>
      <c r="Z21" s="721" t="str">
        <f t="shared" si="13"/>
        <v/>
      </c>
      <c r="AA21" s="721" t="str">
        <f t="shared" si="14"/>
        <v/>
      </c>
      <c r="AB21" s="722" t="str">
        <f t="shared" si="15"/>
        <v/>
      </c>
      <c r="AC21" s="779"/>
      <c r="AD21" s="675"/>
    </row>
    <row r="22" spans="1:349">
      <c r="A22" s="732">
        <v>46267</v>
      </c>
      <c r="B22" s="712" t="s">
        <v>452</v>
      </c>
      <c r="C22" s="738"/>
      <c r="D22" s="712" t="s">
        <v>252</v>
      </c>
      <c r="E22" s="714"/>
      <c r="F22" s="734"/>
      <c r="G22" s="734">
        <v>150</v>
      </c>
      <c r="H22" s="735">
        <v>1</v>
      </c>
      <c r="I22" s="736">
        <f t="shared" si="16"/>
        <v>150</v>
      </c>
      <c r="J22" s="713">
        <v>6000017</v>
      </c>
      <c r="K22" s="737">
        <v>46267</v>
      </c>
      <c r="L22" s="736">
        <f t="shared" si="17"/>
        <v>150</v>
      </c>
      <c r="M22" s="736">
        <f t="shared" si="18"/>
        <v>150</v>
      </c>
      <c r="N22" s="712"/>
      <c r="O22" s="712"/>
      <c r="P22" s="712"/>
      <c r="Q22" s="737">
        <v>46267</v>
      </c>
      <c r="R22" s="737">
        <v>46282</v>
      </c>
      <c r="S22" s="714" t="s">
        <v>84</v>
      </c>
      <c r="T22" s="734"/>
      <c r="U22" s="754"/>
      <c r="V22" s="775" t="s">
        <v>453</v>
      </c>
      <c r="W22" s="718" t="str">
        <f t="shared" si="10"/>
        <v/>
      </c>
      <c r="X22" s="719" t="str">
        <f t="shared" si="11"/>
        <v/>
      </c>
      <c r="Y22" s="720">
        <f t="shared" si="12"/>
        <v>150</v>
      </c>
      <c r="Z22" s="721" t="str">
        <f t="shared" si="13"/>
        <v/>
      </c>
      <c r="AA22" s="721" t="str">
        <f t="shared" si="14"/>
        <v/>
      </c>
      <c r="AB22" s="722" t="str">
        <f t="shared" si="15"/>
        <v/>
      </c>
      <c r="AC22" s="779"/>
      <c r="AD22" s="675"/>
    </row>
    <row r="23" s="467" customFormat="1" ht="13" spans="1:349">
      <c r="A23" s="755">
        <v>46267</v>
      </c>
      <c r="B23" s="758" t="s">
        <v>454</v>
      </c>
      <c r="C23" s="757"/>
      <c r="D23" s="782" t="s">
        <v>214</v>
      </c>
      <c r="E23" s="757"/>
      <c r="F23" s="759"/>
      <c r="G23" s="785">
        <v>2301.47</v>
      </c>
      <c r="H23" s="761">
        <v>1</v>
      </c>
      <c r="I23" s="765">
        <f t="shared" si="16"/>
        <v>2301.47</v>
      </c>
      <c r="J23" s="763">
        <v>6000016</v>
      </c>
      <c r="K23" s="764"/>
      <c r="L23" s="765">
        <f t="shared" si="17"/>
        <v>2301.47</v>
      </c>
      <c r="M23" s="765">
        <f t="shared" si="18"/>
        <v>2301.47</v>
      </c>
      <c r="N23" s="758"/>
      <c r="O23" s="758"/>
      <c r="P23" s="758"/>
      <c r="Q23" s="764"/>
      <c r="R23" s="764"/>
      <c r="S23" s="757" t="s">
        <v>87</v>
      </c>
      <c r="T23" s="759"/>
      <c r="U23" s="800" t="s">
        <v>455</v>
      </c>
      <c r="V23" s="791" t="s">
        <v>456</v>
      </c>
      <c r="W23" s="769" t="str">
        <f t="shared" si="10"/>
        <v/>
      </c>
      <c r="X23" s="770" t="str">
        <f t="shared" si="11"/>
        <v/>
      </c>
      <c r="Y23" s="771" t="str">
        <f t="shared" si="12"/>
        <v/>
      </c>
      <c r="Z23" s="772" t="str">
        <f t="shared" si="13"/>
        <v/>
      </c>
      <c r="AA23" s="772" t="str">
        <f t="shared" si="14"/>
        <v/>
      </c>
      <c r="AB23" s="792">
        <f t="shared" si="15"/>
        <v>2301.47</v>
      </c>
      <c r="AC23" s="779"/>
      <c r="AD23" s="675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</row>
    <row r="24" s="467" customFormat="1" ht="13" spans="1:349">
      <c r="A24" s="755">
        <v>46267</v>
      </c>
      <c r="B24" s="758" t="s">
        <v>457</v>
      </c>
      <c r="C24" s="757"/>
      <c r="D24" s="758" t="s">
        <v>214</v>
      </c>
      <c r="E24" s="757"/>
      <c r="F24" s="759"/>
      <c r="G24" s="785">
        <v>10292.19</v>
      </c>
      <c r="H24" s="761">
        <v>1</v>
      </c>
      <c r="I24" s="765">
        <f t="shared" si="16"/>
        <v>10292.19</v>
      </c>
      <c r="J24" s="763">
        <v>6000013</v>
      </c>
      <c r="K24" s="764"/>
      <c r="L24" s="765">
        <f t="shared" si="17"/>
        <v>10292.19</v>
      </c>
      <c r="M24" s="765">
        <f t="shared" si="18"/>
        <v>10292.19</v>
      </c>
      <c r="N24" s="758"/>
      <c r="O24" s="758"/>
      <c r="P24" s="758"/>
      <c r="Q24" s="764"/>
      <c r="R24" s="764"/>
      <c r="S24" s="757" t="s">
        <v>87</v>
      </c>
      <c r="T24" s="759"/>
      <c r="U24" s="801"/>
      <c r="V24" s="791" t="s">
        <v>458</v>
      </c>
      <c r="W24" s="769" t="str">
        <f t="shared" si="10"/>
        <v/>
      </c>
      <c r="X24" s="770" t="str">
        <f t="shared" si="11"/>
        <v/>
      </c>
      <c r="Y24" s="771" t="str">
        <f t="shared" si="12"/>
        <v/>
      </c>
      <c r="Z24" s="772" t="str">
        <f t="shared" si="13"/>
        <v/>
      </c>
      <c r="AA24" s="772" t="str">
        <f t="shared" si="14"/>
        <v/>
      </c>
      <c r="AB24" s="792">
        <f t="shared" si="15"/>
        <v>10292.19</v>
      </c>
      <c r="AC24" s="779"/>
      <c r="AD24" s="675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</row>
    <row r="25" spans="1:349">
      <c r="A25" s="755">
        <v>46266</v>
      </c>
      <c r="B25" s="758" t="s">
        <v>459</v>
      </c>
      <c r="C25" s="757"/>
      <c r="D25" s="758" t="s">
        <v>214</v>
      </c>
      <c r="E25" s="757"/>
      <c r="F25" s="759"/>
      <c r="G25" s="785">
        <v>30622.61</v>
      </c>
      <c r="H25" s="761">
        <v>1</v>
      </c>
      <c r="I25" s="765">
        <f t="shared" si="16"/>
        <v>30622.61</v>
      </c>
      <c r="J25" s="763">
        <v>6000016</v>
      </c>
      <c r="K25" s="764"/>
      <c r="L25" s="765">
        <f t="shared" si="17"/>
        <v>30622.61</v>
      </c>
      <c r="M25" s="765">
        <f t="shared" si="18"/>
        <v>30622.61</v>
      </c>
      <c r="N25" s="758"/>
      <c r="O25" s="758"/>
      <c r="P25" s="758"/>
      <c r="Q25" s="764"/>
      <c r="R25" s="764"/>
      <c r="S25" s="757" t="s">
        <v>87</v>
      </c>
      <c r="T25" s="766">
        <v>120</v>
      </c>
      <c r="U25" s="802" t="s">
        <v>460</v>
      </c>
      <c r="V25" s="803" t="s">
        <v>461</v>
      </c>
      <c r="W25" s="769" t="str">
        <f t="shared" si="10"/>
        <v/>
      </c>
      <c r="X25" s="770" t="str">
        <f t="shared" si="11"/>
        <v/>
      </c>
      <c r="Y25" s="771" t="str">
        <f t="shared" si="12"/>
        <v/>
      </c>
      <c r="Z25" s="772" t="str">
        <f t="shared" si="13"/>
        <v/>
      </c>
      <c r="AA25" s="772" t="str">
        <f t="shared" si="14"/>
        <v/>
      </c>
      <c r="AB25" s="792">
        <f t="shared" si="15"/>
        <v>30622.61</v>
      </c>
      <c r="AC25" s="675"/>
      <c r="AD25" s="675"/>
    </row>
    <row r="26" spans="1:349">
      <c r="A26" s="732">
        <v>46266</v>
      </c>
      <c r="B26" s="740" t="s">
        <v>462</v>
      </c>
      <c r="C26" s="741"/>
      <c r="D26" s="742" t="s">
        <v>79</v>
      </c>
      <c r="E26" s="743"/>
      <c r="F26" s="804" t="s">
        <v>463</v>
      </c>
      <c r="G26" s="744">
        <v>120</v>
      </c>
      <c r="H26" s="735">
        <v>1</v>
      </c>
      <c r="I26" s="736">
        <f t="shared" si="16"/>
        <v>120</v>
      </c>
      <c r="J26" s="713">
        <v>6000001</v>
      </c>
      <c r="K26" s="737">
        <f>A26</f>
        <v>46266</v>
      </c>
      <c r="L26" s="736">
        <f t="shared" si="17"/>
        <v>120</v>
      </c>
      <c r="M26" s="736">
        <f t="shared" si="18"/>
        <v>120</v>
      </c>
      <c r="N26" s="712"/>
      <c r="O26" s="712"/>
      <c r="P26" s="712"/>
      <c r="Q26" s="737"/>
      <c r="R26" s="737"/>
      <c r="S26" s="745" t="s">
        <v>87</v>
      </c>
      <c r="T26" s="716"/>
      <c r="U26" s="717"/>
      <c r="V26" s="775" t="s">
        <v>463</v>
      </c>
      <c r="W26" s="718" t="str">
        <f t="shared" ref="W26:W39" si="19">IF(S26="Accrual",M26,"")</f>
        <v/>
      </c>
      <c r="X26" s="719" t="str">
        <f t="shared" ref="X26:X39" si="20">IF(S26="Receiving",M26,"")</f>
        <v/>
      </c>
      <c r="Y26" s="720" t="str">
        <f t="shared" si="12"/>
        <v/>
      </c>
      <c r="Z26" s="721" t="str">
        <f t="shared" si="13"/>
        <v/>
      </c>
      <c r="AA26" s="721" t="str">
        <f t="shared" si="14"/>
        <v/>
      </c>
      <c r="AB26" s="722">
        <f t="shared" si="15"/>
        <v>120</v>
      </c>
      <c r="AC26" s="779"/>
      <c r="AD26" s="675"/>
    </row>
    <row r="27" spans="1:349">
      <c r="A27" s="732">
        <v>46262</v>
      </c>
      <c r="B27" s="712" t="s">
        <v>464</v>
      </c>
      <c r="C27" s="740" t="s">
        <v>312</v>
      </c>
      <c r="D27" s="712" t="s">
        <v>313</v>
      </c>
      <c r="E27" s="714" t="s">
        <v>314</v>
      </c>
      <c r="F27" s="746" t="s">
        <v>465</v>
      </c>
      <c r="G27" s="734">
        <v>2032.5</v>
      </c>
      <c r="H27" s="735">
        <v>1</v>
      </c>
      <c r="I27" s="736">
        <f t="shared" si="16"/>
        <v>2032.5</v>
      </c>
      <c r="J27" s="713">
        <v>3000008</v>
      </c>
      <c r="K27" s="737"/>
      <c r="L27" s="736">
        <f t="shared" si="17"/>
        <v>2032.5</v>
      </c>
      <c r="M27" s="736">
        <f t="shared" si="18"/>
        <v>2032.5</v>
      </c>
      <c r="N27" s="712"/>
      <c r="O27" s="712"/>
      <c r="P27" s="712"/>
      <c r="Q27" s="737"/>
      <c r="R27" s="737"/>
      <c r="S27" s="805" t="s">
        <v>82</v>
      </c>
      <c r="T27" s="806"/>
      <c r="U27" s="807"/>
      <c r="V27" s="713"/>
      <c r="W27" s="808">
        <f t="shared" si="19"/>
        <v>2032.5</v>
      </c>
      <c r="X27" s="809" t="str">
        <f t="shared" si="20"/>
        <v/>
      </c>
      <c r="Y27" s="809" t="str">
        <f t="shared" ref="Y27" si="21">IF(S27="Received",M27,"")</f>
        <v/>
      </c>
      <c r="Z27" s="809" t="str">
        <f t="shared" ref="Z27" si="22">IF(S27="Approved",M27,"")</f>
        <v/>
      </c>
      <c r="AA27" s="809" t="str">
        <f t="shared" ref="AA27" si="23">IF(S27="Paying",M27,"")</f>
        <v/>
      </c>
      <c r="AB27" s="810" t="str">
        <f t="shared" ref="AB27" si="24">IF(S27="Completed",M27,"")</f>
        <v/>
      </c>
      <c r="AC27" s="779"/>
      <c r="AD27" s="675"/>
    </row>
    <row r="28" spans="1:349">
      <c r="A28" s="732">
        <v>46262</v>
      </c>
      <c r="B28" s="811" t="s">
        <v>466</v>
      </c>
      <c r="C28" s="812" t="s">
        <v>262</v>
      </c>
      <c r="D28" s="712" t="s">
        <v>226</v>
      </c>
      <c r="E28" s="714" t="s">
        <v>263</v>
      </c>
      <c r="F28" s="813" t="s">
        <v>467</v>
      </c>
      <c r="G28" s="744">
        <v>2260.32</v>
      </c>
      <c r="H28" s="735">
        <v>1</v>
      </c>
      <c r="I28" s="736">
        <v>2260.32</v>
      </c>
      <c r="J28" s="713">
        <v>2000009</v>
      </c>
      <c r="K28" s="737"/>
      <c r="L28" s="736">
        <v>2260.32</v>
      </c>
      <c r="M28" s="736">
        <v>2842.32</v>
      </c>
      <c r="N28" s="712"/>
      <c r="O28" s="712"/>
      <c r="P28" s="712"/>
      <c r="Q28" s="737"/>
      <c r="R28" s="737"/>
      <c r="S28" s="714" t="s">
        <v>84</v>
      </c>
      <c r="T28" s="734"/>
      <c r="U28" s="717"/>
      <c r="V28" s="746" t="s">
        <v>468</v>
      </c>
      <c r="W28" s="718" t="str">
        <f t="shared" si="19"/>
        <v/>
      </c>
      <c r="X28" s="719" t="str">
        <f t="shared" si="20"/>
        <v/>
      </c>
      <c r="Y28" s="720">
        <f t="shared" ref="Y28:Y61" si="25">IF(S28="Received",M28,"")</f>
        <v>2842.32</v>
      </c>
      <c r="Z28" s="721" t="str">
        <f t="shared" ref="Z28:Z61" si="26">IF(S28="Approved",M28,"")</f>
        <v/>
      </c>
      <c r="AA28" s="721" t="str">
        <f t="shared" ref="AA28:AA61" si="27">IF(S28="Paying",M28,"")</f>
        <v/>
      </c>
      <c r="AB28" s="722" t="str">
        <f t="shared" ref="AB28:AB62" si="28">IF(S28="Completed",M28,"")</f>
        <v/>
      </c>
      <c r="AC28" s="779"/>
      <c r="AD28" s="675"/>
    </row>
    <row r="29" spans="1:349">
      <c r="A29" s="732">
        <v>46262</v>
      </c>
      <c r="B29" s="814" t="s">
        <v>469</v>
      </c>
      <c r="C29" s="740" t="s">
        <v>322</v>
      </c>
      <c r="D29" s="712" t="s">
        <v>226</v>
      </c>
      <c r="E29" s="714" t="s">
        <v>323</v>
      </c>
      <c r="F29" s="746" t="s">
        <v>470</v>
      </c>
      <c r="G29" s="734">
        <v>937</v>
      </c>
      <c r="H29" s="735">
        <v>1</v>
      </c>
      <c r="I29" s="736">
        <v>937</v>
      </c>
      <c r="J29" s="714">
        <v>3000012</v>
      </c>
      <c r="K29" s="737"/>
      <c r="L29" s="736">
        <v>937</v>
      </c>
      <c r="M29" s="736">
        <f t="shared" ref="M29:M47" si="29">L29</f>
        <v>937</v>
      </c>
      <c r="N29" s="712"/>
      <c r="O29" s="712"/>
      <c r="P29" s="712"/>
      <c r="Q29" s="737">
        <v>46283</v>
      </c>
      <c r="R29" s="737">
        <v>46313</v>
      </c>
      <c r="S29" s="714" t="s">
        <v>84</v>
      </c>
      <c r="T29" s="716"/>
      <c r="U29" s="717"/>
      <c r="V29" s="746" t="s">
        <v>471</v>
      </c>
      <c r="W29" s="718" t="str">
        <f t="shared" si="19"/>
        <v/>
      </c>
      <c r="X29" s="719" t="str">
        <f t="shared" si="20"/>
        <v/>
      </c>
      <c r="Y29" s="720">
        <f t="shared" si="25"/>
        <v>937</v>
      </c>
      <c r="Z29" s="721" t="str">
        <f t="shared" si="26"/>
        <v/>
      </c>
      <c r="AA29" s="721" t="str">
        <f t="shared" si="27"/>
        <v/>
      </c>
      <c r="AB29" s="722" t="str">
        <f t="shared" si="28"/>
        <v/>
      </c>
      <c r="AC29" s="779"/>
      <c r="AD29" s="675"/>
    </row>
    <row r="30" spans="1:349">
      <c r="A30" s="732">
        <v>46262</v>
      </c>
      <c r="B30" s="712" t="s">
        <v>472</v>
      </c>
      <c r="C30" s="740" t="s">
        <v>265</v>
      </c>
      <c r="D30" s="712" t="s">
        <v>473</v>
      </c>
      <c r="E30" s="714" t="s">
        <v>267</v>
      </c>
      <c r="F30" s="815" t="s">
        <v>474</v>
      </c>
      <c r="G30" s="734">
        <v>7015.75</v>
      </c>
      <c r="H30" s="735">
        <v>1</v>
      </c>
      <c r="I30" s="736">
        <f t="shared" ref="I30:I38" si="30">G30*H30</f>
        <v>7015.75</v>
      </c>
      <c r="J30" s="713">
        <v>2000004</v>
      </c>
      <c r="K30" s="737"/>
      <c r="L30" s="736">
        <f t="shared" ref="L30:L38" si="31">I30</f>
        <v>7015.75</v>
      </c>
      <c r="M30" s="736">
        <v>4271.4</v>
      </c>
      <c r="N30" s="712"/>
      <c r="O30" s="712"/>
      <c r="P30" s="712"/>
      <c r="Q30" s="816">
        <v>46265</v>
      </c>
      <c r="R30" s="737">
        <v>46296</v>
      </c>
      <c r="S30" s="805" t="s">
        <v>87</v>
      </c>
      <c r="T30" s="738">
        <v>20</v>
      </c>
      <c r="U30" s="739" t="s">
        <v>475</v>
      </c>
      <c r="V30" s="775" t="s">
        <v>476</v>
      </c>
      <c r="W30" s="718" t="str">
        <f t="shared" si="19"/>
        <v/>
      </c>
      <c r="X30" s="719" t="str">
        <f t="shared" si="20"/>
        <v/>
      </c>
      <c r="Y30" s="720" t="str">
        <f t="shared" si="25"/>
        <v/>
      </c>
      <c r="Z30" s="721" t="str">
        <f t="shared" si="26"/>
        <v/>
      </c>
      <c r="AA30" s="721" t="str">
        <f t="shared" si="27"/>
        <v/>
      </c>
      <c r="AB30" s="722">
        <f t="shared" si="28"/>
        <v>4271.4</v>
      </c>
      <c r="AC30" s="779"/>
      <c r="AD30" s="675"/>
    </row>
    <row r="31" spans="1:349">
      <c r="A31" s="732">
        <v>46262</v>
      </c>
      <c r="B31" s="712" t="s">
        <v>477</v>
      </c>
      <c r="C31" s="740" t="s">
        <v>325</v>
      </c>
      <c r="D31" s="712" t="s">
        <v>313</v>
      </c>
      <c r="E31" s="714" t="s">
        <v>326</v>
      </c>
      <c r="F31" s="775" t="s">
        <v>478</v>
      </c>
      <c r="G31" s="734">
        <v>904.33</v>
      </c>
      <c r="H31" s="817">
        <v>1</v>
      </c>
      <c r="I31" s="736">
        <f t="shared" si="30"/>
        <v>904.33</v>
      </c>
      <c r="J31" s="713">
        <v>3000012</v>
      </c>
      <c r="K31" s="737"/>
      <c r="L31" s="736">
        <f t="shared" si="31"/>
        <v>904.33</v>
      </c>
      <c r="M31" s="736">
        <f t="shared" si="29"/>
        <v>904.33</v>
      </c>
      <c r="N31" s="712"/>
      <c r="O31" s="712"/>
      <c r="P31" s="712"/>
      <c r="Q31" s="737"/>
      <c r="R31" s="737"/>
      <c r="S31" s="805" t="s">
        <v>82</v>
      </c>
      <c r="T31" s="716"/>
      <c r="U31" s="774"/>
      <c r="V31" s="818"/>
      <c r="W31" s="718">
        <f t="shared" si="19"/>
        <v>904.33</v>
      </c>
      <c r="X31" s="719" t="str">
        <f t="shared" si="20"/>
        <v/>
      </c>
      <c r="Y31" s="720" t="str">
        <f t="shared" si="25"/>
        <v/>
      </c>
      <c r="Z31" s="721" t="str">
        <f t="shared" si="26"/>
        <v/>
      </c>
      <c r="AA31" s="721" t="str">
        <f t="shared" si="27"/>
        <v/>
      </c>
      <c r="AB31" s="722" t="str">
        <f t="shared" si="28"/>
        <v/>
      </c>
      <c r="AC31" s="779"/>
      <c r="AD31" s="675"/>
    </row>
    <row r="32" spans="1:349">
      <c r="A32" s="732">
        <v>46262</v>
      </c>
      <c r="B32" s="712" t="s">
        <v>479</v>
      </c>
      <c r="C32" s="740" t="s">
        <v>319</v>
      </c>
      <c r="D32" s="712" t="s">
        <v>313</v>
      </c>
      <c r="E32" s="714" t="s">
        <v>320</v>
      </c>
      <c r="F32" s="746" t="s">
        <v>480</v>
      </c>
      <c r="G32" s="734">
        <v>136.36</v>
      </c>
      <c r="H32" s="817">
        <v>1</v>
      </c>
      <c r="I32" s="736">
        <f t="shared" si="30"/>
        <v>136.36</v>
      </c>
      <c r="J32" s="713">
        <v>3000012</v>
      </c>
      <c r="K32" s="737"/>
      <c r="L32" s="736">
        <f t="shared" si="31"/>
        <v>136.36</v>
      </c>
      <c r="M32" s="736">
        <f t="shared" si="29"/>
        <v>136.36</v>
      </c>
      <c r="N32" s="712"/>
      <c r="O32" s="712"/>
      <c r="P32" s="712"/>
      <c r="Q32" s="737"/>
      <c r="R32" s="737"/>
      <c r="S32" s="805" t="s">
        <v>82</v>
      </c>
      <c r="T32" s="716"/>
      <c r="U32" s="774"/>
      <c r="V32" s="818"/>
      <c r="W32" s="718">
        <f t="shared" si="19"/>
        <v>136.36</v>
      </c>
      <c r="X32" s="719" t="str">
        <f t="shared" si="20"/>
        <v/>
      </c>
      <c r="Y32" s="720" t="str">
        <f t="shared" si="25"/>
        <v/>
      </c>
      <c r="Z32" s="721" t="str">
        <f t="shared" si="26"/>
        <v/>
      </c>
      <c r="AA32" s="721" t="str">
        <f t="shared" si="27"/>
        <v/>
      </c>
      <c r="AB32" s="722" t="str">
        <f t="shared" si="28"/>
        <v/>
      </c>
      <c r="AC32" s="779"/>
      <c r="AD32" s="675"/>
    </row>
    <row r="33" s="675" customFormat="1" ht="12" spans="1:30">
      <c r="A33" s="732">
        <v>46262</v>
      </c>
      <c r="B33" s="712" t="s">
        <v>481</v>
      </c>
      <c r="C33" s="740" t="s">
        <v>269</v>
      </c>
      <c r="D33" s="712" t="s">
        <v>226</v>
      </c>
      <c r="E33" s="714" t="s">
        <v>270</v>
      </c>
      <c r="F33" s="746" t="s">
        <v>482</v>
      </c>
      <c r="G33" s="734">
        <v>923.53</v>
      </c>
      <c r="H33" s="817">
        <v>1</v>
      </c>
      <c r="I33" s="736">
        <f t="shared" si="30"/>
        <v>923.53</v>
      </c>
      <c r="J33" s="713">
        <v>2000007</v>
      </c>
      <c r="K33" s="737"/>
      <c r="L33" s="736">
        <f t="shared" si="31"/>
        <v>923.53</v>
      </c>
      <c r="M33" s="736">
        <f t="shared" si="29"/>
        <v>923.53</v>
      </c>
      <c r="N33" s="712"/>
      <c r="O33" s="712"/>
      <c r="P33" s="712"/>
      <c r="Q33" s="737">
        <v>46283</v>
      </c>
      <c r="R33" s="737">
        <v>46313</v>
      </c>
      <c r="S33" s="714" t="s">
        <v>84</v>
      </c>
      <c r="T33" s="716"/>
      <c r="U33" s="774"/>
      <c r="V33" s="746" t="s">
        <v>483</v>
      </c>
      <c r="W33" s="718" t="str">
        <f t="shared" si="19"/>
        <v/>
      </c>
      <c r="X33" s="719" t="str">
        <f t="shared" si="20"/>
        <v/>
      </c>
      <c r="Y33" s="720">
        <f t="shared" si="25"/>
        <v>923.53</v>
      </c>
      <c r="Z33" s="721" t="str">
        <f t="shared" si="26"/>
        <v/>
      </c>
      <c r="AA33" s="721" t="str">
        <f t="shared" si="27"/>
        <v/>
      </c>
      <c r="AB33" s="722" t="str">
        <f t="shared" si="28"/>
        <v/>
      </c>
      <c r="AC33" s="779"/>
    </row>
    <row r="34" s="675" customFormat="1" ht="12" spans="1:30">
      <c r="A34" s="732">
        <v>46262</v>
      </c>
      <c r="B34" s="712" t="s">
        <v>484</v>
      </c>
      <c r="C34" s="740" t="s">
        <v>272</v>
      </c>
      <c r="D34" s="712" t="s">
        <v>226</v>
      </c>
      <c r="E34" s="714" t="s">
        <v>273</v>
      </c>
      <c r="F34" s="746" t="s">
        <v>485</v>
      </c>
      <c r="G34" s="734">
        <v>2832.54</v>
      </c>
      <c r="H34" s="817">
        <v>1</v>
      </c>
      <c r="I34" s="736">
        <f t="shared" si="30"/>
        <v>2832.54</v>
      </c>
      <c r="J34" s="713">
        <v>2000007</v>
      </c>
      <c r="K34" s="737"/>
      <c r="L34" s="736">
        <f t="shared" si="31"/>
        <v>2832.54</v>
      </c>
      <c r="M34" s="736">
        <v>3116.88</v>
      </c>
      <c r="N34" s="712"/>
      <c r="O34" s="712"/>
      <c r="P34" s="712"/>
      <c r="Q34" s="737">
        <v>46283</v>
      </c>
      <c r="R34" s="737">
        <v>46313</v>
      </c>
      <c r="S34" s="714" t="s">
        <v>84</v>
      </c>
      <c r="T34" s="716"/>
      <c r="U34" s="774"/>
      <c r="V34" s="746" t="s">
        <v>486</v>
      </c>
      <c r="W34" s="718" t="str">
        <f t="shared" si="19"/>
        <v/>
      </c>
      <c r="X34" s="719" t="str">
        <f t="shared" si="20"/>
        <v/>
      </c>
      <c r="Y34" s="720">
        <f t="shared" si="25"/>
        <v>3116.88</v>
      </c>
      <c r="Z34" s="721" t="str">
        <f t="shared" si="26"/>
        <v/>
      </c>
      <c r="AA34" s="721" t="str">
        <f t="shared" si="27"/>
        <v/>
      </c>
      <c r="AB34" s="722" t="str">
        <f t="shared" si="28"/>
        <v/>
      </c>
      <c r="AC34" s="779"/>
    </row>
    <row r="35" s="675" customFormat="1" ht="12" spans="1:30">
      <c r="A35" s="732">
        <v>46262</v>
      </c>
      <c r="B35" s="712" t="s">
        <v>487</v>
      </c>
      <c r="C35" s="740" t="s">
        <v>275</v>
      </c>
      <c r="D35" s="712" t="s">
        <v>226</v>
      </c>
      <c r="E35" s="738" t="s">
        <v>276</v>
      </c>
      <c r="F35" s="746" t="s">
        <v>488</v>
      </c>
      <c r="G35" s="734">
        <v>2745</v>
      </c>
      <c r="H35" s="817">
        <v>1</v>
      </c>
      <c r="I35" s="736">
        <f t="shared" si="30"/>
        <v>2745</v>
      </c>
      <c r="J35" s="713">
        <v>2000007</v>
      </c>
      <c r="K35" s="737"/>
      <c r="L35" s="736">
        <f t="shared" si="31"/>
        <v>2745</v>
      </c>
      <c r="M35" s="736">
        <v>4000</v>
      </c>
      <c r="N35" s="712"/>
      <c r="O35" s="712"/>
      <c r="P35" s="712"/>
      <c r="Q35" s="737">
        <v>46283</v>
      </c>
      <c r="R35" s="737">
        <v>46313</v>
      </c>
      <c r="S35" s="714" t="s">
        <v>84</v>
      </c>
      <c r="T35" s="716"/>
      <c r="U35" s="774"/>
      <c r="V35" s="746" t="s">
        <v>489</v>
      </c>
      <c r="W35" s="718" t="str">
        <f t="shared" si="19"/>
        <v/>
      </c>
      <c r="X35" s="719" t="str">
        <f t="shared" si="20"/>
        <v/>
      </c>
      <c r="Y35" s="720">
        <f t="shared" si="25"/>
        <v>4000</v>
      </c>
      <c r="Z35" s="721" t="str">
        <f t="shared" si="26"/>
        <v/>
      </c>
      <c r="AA35" s="721" t="str">
        <f t="shared" si="27"/>
        <v/>
      </c>
      <c r="AB35" s="722" t="str">
        <f t="shared" si="28"/>
        <v/>
      </c>
      <c r="AC35" s="779"/>
    </row>
    <row r="36" spans="1:30">
      <c r="A36" s="732">
        <v>46262</v>
      </c>
      <c r="B36" s="712" t="s">
        <v>490</v>
      </c>
      <c r="C36" s="740" t="s">
        <v>278</v>
      </c>
      <c r="D36" s="712" t="s">
        <v>226</v>
      </c>
      <c r="E36" s="714" t="s">
        <v>279</v>
      </c>
      <c r="F36" s="746" t="s">
        <v>491</v>
      </c>
      <c r="G36" s="734">
        <v>1205.28</v>
      </c>
      <c r="H36" s="817">
        <v>1</v>
      </c>
      <c r="I36" s="736">
        <f t="shared" si="30"/>
        <v>1205.28</v>
      </c>
      <c r="J36" s="713">
        <v>2000006</v>
      </c>
      <c r="K36" s="737"/>
      <c r="L36" s="736">
        <f t="shared" si="31"/>
        <v>1205.28</v>
      </c>
      <c r="M36" s="736">
        <f t="shared" si="29"/>
        <v>1205.28</v>
      </c>
      <c r="N36" s="712"/>
      <c r="O36" s="712"/>
      <c r="P36" s="712"/>
      <c r="Q36" s="737">
        <v>46283</v>
      </c>
      <c r="R36" s="737">
        <v>46313</v>
      </c>
      <c r="S36" s="714" t="s">
        <v>84</v>
      </c>
      <c r="T36" s="716"/>
      <c r="U36" s="774"/>
      <c r="V36" s="746" t="s">
        <v>492</v>
      </c>
      <c r="W36" s="718" t="str">
        <f t="shared" si="19"/>
        <v/>
      </c>
      <c r="X36" s="719" t="str">
        <f t="shared" si="20"/>
        <v/>
      </c>
      <c r="Y36" s="720">
        <f t="shared" si="25"/>
        <v>1205.28</v>
      </c>
      <c r="Z36" s="721" t="str">
        <f t="shared" si="26"/>
        <v/>
      </c>
      <c r="AA36" s="721" t="str">
        <f t="shared" si="27"/>
        <v/>
      </c>
      <c r="AB36" s="722" t="str">
        <f t="shared" si="28"/>
        <v/>
      </c>
      <c r="AC36" s="779"/>
      <c r="AD36" s="675"/>
    </row>
    <row r="37" spans="1:30">
      <c r="A37" s="732">
        <v>46262</v>
      </c>
      <c r="B37" s="712" t="s">
        <v>493</v>
      </c>
      <c r="C37" s="740" t="s">
        <v>281</v>
      </c>
      <c r="D37" s="712" t="s">
        <v>226</v>
      </c>
      <c r="E37" s="714" t="s">
        <v>282</v>
      </c>
      <c r="F37" s="746" t="s">
        <v>494</v>
      </c>
      <c r="G37" s="734">
        <v>1620.42</v>
      </c>
      <c r="H37" s="735">
        <v>1</v>
      </c>
      <c r="I37" s="736">
        <f t="shared" si="30"/>
        <v>1620.42</v>
      </c>
      <c r="J37" s="713">
        <v>2000012</v>
      </c>
      <c r="K37" s="737"/>
      <c r="L37" s="736">
        <f t="shared" si="31"/>
        <v>1620.42</v>
      </c>
      <c r="M37" s="736">
        <f t="shared" si="29"/>
        <v>1620.42</v>
      </c>
      <c r="N37" s="712"/>
      <c r="O37" s="712"/>
      <c r="P37" s="712"/>
      <c r="Q37" s="737">
        <v>46283</v>
      </c>
      <c r="R37" s="737">
        <v>46313</v>
      </c>
      <c r="S37" s="714" t="s">
        <v>84</v>
      </c>
      <c r="T37" s="716"/>
      <c r="U37" s="774"/>
      <c r="V37" s="746" t="s">
        <v>495</v>
      </c>
      <c r="W37" s="718" t="str">
        <f t="shared" si="19"/>
        <v/>
      </c>
      <c r="X37" s="719" t="str">
        <f t="shared" si="20"/>
        <v/>
      </c>
      <c r="Y37" s="720">
        <f t="shared" si="25"/>
        <v>1620.42</v>
      </c>
      <c r="Z37" s="721" t="str">
        <f t="shared" si="26"/>
        <v/>
      </c>
      <c r="AA37" s="721" t="str">
        <f t="shared" si="27"/>
        <v/>
      </c>
      <c r="AB37" s="722" t="str">
        <f t="shared" si="28"/>
        <v/>
      </c>
      <c r="AC37" s="779"/>
      <c r="AD37" s="675"/>
    </row>
    <row r="38" s="675" customFormat="1" ht="12" spans="1:30">
      <c r="A38" s="732">
        <v>46262</v>
      </c>
      <c r="B38" s="712" t="s">
        <v>496</v>
      </c>
      <c r="C38" s="740" t="s">
        <v>284</v>
      </c>
      <c r="D38" s="712" t="s">
        <v>226</v>
      </c>
      <c r="E38" s="714" t="s">
        <v>285</v>
      </c>
      <c r="F38" s="746" t="s">
        <v>497</v>
      </c>
      <c r="G38" s="734">
        <v>365.27</v>
      </c>
      <c r="H38" s="817">
        <v>1</v>
      </c>
      <c r="I38" s="736">
        <f t="shared" si="30"/>
        <v>365.27</v>
      </c>
      <c r="J38" s="713">
        <v>2000001</v>
      </c>
      <c r="K38" s="737"/>
      <c r="L38" s="736">
        <f t="shared" si="31"/>
        <v>365.27</v>
      </c>
      <c r="M38" s="736">
        <f t="shared" si="29"/>
        <v>365.27</v>
      </c>
      <c r="N38" s="712"/>
      <c r="O38" s="712"/>
      <c r="P38" s="712"/>
      <c r="Q38" s="737">
        <v>46283</v>
      </c>
      <c r="R38" s="737">
        <v>46313</v>
      </c>
      <c r="S38" s="714" t="s">
        <v>84</v>
      </c>
      <c r="T38" s="716"/>
      <c r="U38" s="774"/>
      <c r="V38" s="746" t="s">
        <v>498</v>
      </c>
      <c r="W38" s="718" t="str">
        <f t="shared" si="19"/>
        <v/>
      </c>
      <c r="X38" s="719" t="str">
        <f t="shared" si="20"/>
        <v/>
      </c>
      <c r="Y38" s="720">
        <f t="shared" si="25"/>
        <v>365.27</v>
      </c>
      <c r="Z38" s="721" t="str">
        <f t="shared" si="26"/>
        <v/>
      </c>
      <c r="AA38" s="721" t="str">
        <f t="shared" si="27"/>
        <v/>
      </c>
      <c r="AB38" s="722" t="str">
        <f t="shared" si="28"/>
        <v/>
      </c>
      <c r="AC38" s="779"/>
    </row>
    <row r="39" s="675" customFormat="1" ht="12" spans="1:30">
      <c r="A39" s="732">
        <v>46262</v>
      </c>
      <c r="B39" s="712" t="s">
        <v>499</v>
      </c>
      <c r="C39" s="740" t="s">
        <v>287</v>
      </c>
      <c r="D39" s="712" t="s">
        <v>226</v>
      </c>
      <c r="E39" s="714" t="s">
        <v>288</v>
      </c>
      <c r="F39" s="746" t="s">
        <v>500</v>
      </c>
      <c r="G39" s="734">
        <v>300</v>
      </c>
      <c r="H39" s="735">
        <v>1</v>
      </c>
      <c r="I39" s="736">
        <v>300</v>
      </c>
      <c r="J39" s="713">
        <v>3000007</v>
      </c>
      <c r="K39" s="737"/>
      <c r="L39" s="736">
        <v>300</v>
      </c>
      <c r="M39" s="736">
        <f t="shared" si="29"/>
        <v>300</v>
      </c>
      <c r="N39" s="712"/>
      <c r="O39" s="712"/>
      <c r="P39" s="712"/>
      <c r="Q39" s="737">
        <v>46283</v>
      </c>
      <c r="R39" s="737">
        <v>46313</v>
      </c>
      <c r="S39" s="714" t="s">
        <v>84</v>
      </c>
      <c r="T39" s="734"/>
      <c r="U39" s="717"/>
      <c r="V39" s="746" t="s">
        <v>501</v>
      </c>
      <c r="W39" s="718" t="str">
        <f t="shared" si="19"/>
        <v/>
      </c>
      <c r="X39" s="719" t="str">
        <f t="shared" si="20"/>
        <v/>
      </c>
      <c r="Y39" s="720">
        <f t="shared" si="25"/>
        <v>300</v>
      </c>
      <c r="Z39" s="721" t="str">
        <f t="shared" si="26"/>
        <v/>
      </c>
      <c r="AA39" s="721" t="str">
        <f t="shared" si="27"/>
        <v/>
      </c>
      <c r="AB39" s="722" t="str">
        <f t="shared" si="28"/>
        <v/>
      </c>
      <c r="AC39" s="779"/>
    </row>
    <row r="40" s="675" customFormat="1" ht="12" spans="1:30">
      <c r="A40" s="732">
        <v>46262</v>
      </c>
      <c r="B40" s="814" t="s">
        <v>502</v>
      </c>
      <c r="C40" s="740" t="s">
        <v>300</v>
      </c>
      <c r="D40" s="712" t="s">
        <v>226</v>
      </c>
      <c r="E40" s="714" t="s">
        <v>301</v>
      </c>
      <c r="F40" s="746" t="s">
        <v>503</v>
      </c>
      <c r="G40" s="734">
        <v>35</v>
      </c>
      <c r="H40" s="735">
        <v>1</v>
      </c>
      <c r="I40" s="736">
        <v>35</v>
      </c>
      <c r="J40" s="713">
        <v>3000007</v>
      </c>
      <c r="K40" s="737"/>
      <c r="L40" s="736">
        <v>35</v>
      </c>
      <c r="M40" s="736">
        <f t="shared" si="29"/>
        <v>35</v>
      </c>
      <c r="N40" s="712"/>
      <c r="O40" s="712"/>
      <c r="P40" s="712"/>
      <c r="Q40" s="737">
        <v>46283</v>
      </c>
      <c r="R40" s="737">
        <v>46313</v>
      </c>
      <c r="S40" s="714" t="s">
        <v>84</v>
      </c>
      <c r="T40" s="734"/>
      <c r="U40" s="717"/>
      <c r="V40" s="746" t="s">
        <v>504</v>
      </c>
      <c r="W40" s="718" t="str">
        <f t="shared" ref="W40:W61" si="32">IF(S40="Accrual",M40,"")</f>
        <v/>
      </c>
      <c r="X40" s="719" t="str">
        <f t="shared" ref="X40:X61" si="33">IF(S40="Receiving",M40,"")</f>
        <v/>
      </c>
      <c r="Y40" s="720">
        <f t="shared" si="25"/>
        <v>35</v>
      </c>
      <c r="Z40" s="721" t="str">
        <f t="shared" si="26"/>
        <v/>
      </c>
      <c r="AA40" s="721" t="str">
        <f t="shared" si="27"/>
        <v/>
      </c>
      <c r="AB40" s="722" t="str">
        <f t="shared" si="28"/>
        <v/>
      </c>
      <c r="AC40" s="779"/>
    </row>
    <row r="41" s="675" customFormat="1" ht="12" spans="1:30">
      <c r="A41" s="732">
        <v>46262</v>
      </c>
      <c r="B41" s="814" t="s">
        <v>505</v>
      </c>
      <c r="C41" s="819" t="s">
        <v>338</v>
      </c>
      <c r="D41" s="712" t="s">
        <v>226</v>
      </c>
      <c r="E41" s="714" t="s">
        <v>339</v>
      </c>
      <c r="F41" s="746" t="s">
        <v>506</v>
      </c>
      <c r="G41" s="820">
        <v>700</v>
      </c>
      <c r="H41" s="735">
        <v>1</v>
      </c>
      <c r="I41" s="820">
        <v>700</v>
      </c>
      <c r="J41" s="713">
        <v>3000012</v>
      </c>
      <c r="K41" s="737"/>
      <c r="L41" s="736">
        <v>700</v>
      </c>
      <c r="M41" s="736">
        <f t="shared" si="29"/>
        <v>700</v>
      </c>
      <c r="N41" s="712"/>
      <c r="O41" s="712"/>
      <c r="P41" s="712"/>
      <c r="Q41" s="737">
        <v>46283</v>
      </c>
      <c r="R41" s="737">
        <v>46313</v>
      </c>
      <c r="S41" s="714" t="s">
        <v>84</v>
      </c>
      <c r="T41" s="734"/>
      <c r="U41" s="717"/>
      <c r="V41" s="746" t="s">
        <v>507</v>
      </c>
      <c r="W41" s="718" t="str">
        <f t="shared" si="32"/>
        <v/>
      </c>
      <c r="X41" s="719" t="str">
        <f t="shared" si="33"/>
        <v/>
      </c>
      <c r="Y41" s="720">
        <f t="shared" si="25"/>
        <v>700</v>
      </c>
      <c r="Z41" s="721" t="str">
        <f t="shared" si="26"/>
        <v/>
      </c>
      <c r="AA41" s="721" t="str">
        <f t="shared" si="27"/>
        <v/>
      </c>
      <c r="AB41" s="722" t="str">
        <f t="shared" si="28"/>
        <v/>
      </c>
      <c r="AC41" s="779"/>
    </row>
    <row r="42" s="675" customFormat="1" ht="12" spans="1:30">
      <c r="A42" s="732">
        <v>46262</v>
      </c>
      <c r="B42" s="814" t="s">
        <v>508</v>
      </c>
      <c r="C42" s="740" t="s">
        <v>341</v>
      </c>
      <c r="D42" s="712" t="s">
        <v>226</v>
      </c>
      <c r="E42" s="714" t="s">
        <v>342</v>
      </c>
      <c r="F42" s="746" t="s">
        <v>509</v>
      </c>
      <c r="G42" s="734">
        <v>155</v>
      </c>
      <c r="H42" s="735">
        <v>1</v>
      </c>
      <c r="I42" s="736">
        <v>155</v>
      </c>
      <c r="J42" s="713">
        <v>3000004</v>
      </c>
      <c r="K42" s="737"/>
      <c r="L42" s="736">
        <v>155</v>
      </c>
      <c r="M42" s="736">
        <f t="shared" si="29"/>
        <v>155</v>
      </c>
      <c r="N42" s="712"/>
      <c r="O42" s="712"/>
      <c r="P42" s="712"/>
      <c r="Q42" s="737">
        <v>46283</v>
      </c>
      <c r="R42" s="737">
        <v>46313</v>
      </c>
      <c r="S42" s="714" t="s">
        <v>84</v>
      </c>
      <c r="T42" s="734"/>
      <c r="U42" s="717"/>
      <c r="V42" s="746" t="s">
        <v>510</v>
      </c>
      <c r="W42" s="718" t="str">
        <f t="shared" si="32"/>
        <v/>
      </c>
      <c r="X42" s="719" t="str">
        <f t="shared" si="33"/>
        <v/>
      </c>
      <c r="Y42" s="720">
        <f t="shared" si="25"/>
        <v>155</v>
      </c>
      <c r="Z42" s="721" t="str">
        <f t="shared" si="26"/>
        <v/>
      </c>
      <c r="AA42" s="721" t="str">
        <f t="shared" si="27"/>
        <v/>
      </c>
      <c r="AB42" s="722" t="str">
        <f t="shared" si="28"/>
        <v/>
      </c>
      <c r="AC42" s="779"/>
    </row>
    <row r="43" s="675" customFormat="1" ht="12" spans="1:30">
      <c r="A43" s="732">
        <v>46262</v>
      </c>
      <c r="B43" s="814" t="s">
        <v>511</v>
      </c>
      <c r="C43" s="740" t="s">
        <v>346</v>
      </c>
      <c r="D43" s="712" t="s">
        <v>226</v>
      </c>
      <c r="E43" s="714" t="s">
        <v>347</v>
      </c>
      <c r="F43" s="746" t="s">
        <v>512</v>
      </c>
      <c r="G43" s="734">
        <v>350</v>
      </c>
      <c r="H43" s="735">
        <v>1</v>
      </c>
      <c r="I43" s="736">
        <v>350</v>
      </c>
      <c r="J43" s="713">
        <v>3000012</v>
      </c>
      <c r="K43" s="737"/>
      <c r="L43" s="736">
        <f>I43</f>
        <v>350</v>
      </c>
      <c r="M43" s="736">
        <f t="shared" si="29"/>
        <v>350</v>
      </c>
      <c r="N43" s="712"/>
      <c r="O43" s="712"/>
      <c r="P43" s="712"/>
      <c r="Q43" s="737">
        <v>46283</v>
      </c>
      <c r="R43" s="737">
        <v>46313</v>
      </c>
      <c r="S43" s="714" t="s">
        <v>84</v>
      </c>
      <c r="T43" s="734"/>
      <c r="U43" s="717"/>
      <c r="V43" s="746" t="s">
        <v>513</v>
      </c>
      <c r="W43" s="718" t="str">
        <f t="shared" si="32"/>
        <v/>
      </c>
      <c r="X43" s="719" t="str">
        <f t="shared" si="33"/>
        <v/>
      </c>
      <c r="Y43" s="720">
        <f t="shared" si="25"/>
        <v>350</v>
      </c>
      <c r="Z43" s="721" t="str">
        <f t="shared" si="26"/>
        <v/>
      </c>
      <c r="AA43" s="721" t="str">
        <f t="shared" si="27"/>
        <v/>
      </c>
      <c r="AB43" s="722" t="str">
        <f t="shared" si="28"/>
        <v/>
      </c>
      <c r="AC43" s="779"/>
    </row>
    <row r="44" s="675" customFormat="1" ht="12" spans="1:30">
      <c r="A44" s="732">
        <v>46262</v>
      </c>
      <c r="B44" s="814" t="s">
        <v>514</v>
      </c>
      <c r="C44" s="819" t="s">
        <v>316</v>
      </c>
      <c r="D44" s="712" t="s">
        <v>226</v>
      </c>
      <c r="E44" s="714" t="s">
        <v>317</v>
      </c>
      <c r="F44" s="746" t="s">
        <v>515</v>
      </c>
      <c r="G44" s="734">
        <v>996</v>
      </c>
      <c r="H44" s="735">
        <v>1</v>
      </c>
      <c r="I44" s="736">
        <v>996</v>
      </c>
      <c r="J44" s="713">
        <v>3000008</v>
      </c>
      <c r="K44" s="737"/>
      <c r="L44" s="736">
        <v>996</v>
      </c>
      <c r="M44" s="736">
        <f t="shared" si="29"/>
        <v>996</v>
      </c>
      <c r="N44" s="712"/>
      <c r="O44" s="712"/>
      <c r="P44" s="712"/>
      <c r="Q44" s="737">
        <v>46283</v>
      </c>
      <c r="R44" s="737">
        <v>46313</v>
      </c>
      <c r="S44" s="714" t="s">
        <v>84</v>
      </c>
      <c r="T44" s="734"/>
      <c r="U44" s="717"/>
      <c r="V44" s="746" t="s">
        <v>516</v>
      </c>
      <c r="W44" s="718" t="str">
        <f t="shared" si="32"/>
        <v/>
      </c>
      <c r="X44" s="719" t="str">
        <f t="shared" si="33"/>
        <v/>
      </c>
      <c r="Y44" s="720">
        <f t="shared" si="25"/>
        <v>996</v>
      </c>
      <c r="Z44" s="721" t="str">
        <f t="shared" si="26"/>
        <v/>
      </c>
      <c r="AA44" s="721" t="str">
        <f t="shared" si="27"/>
        <v/>
      </c>
      <c r="AB44" s="722" t="str">
        <f t="shared" si="28"/>
        <v/>
      </c>
      <c r="AC44" s="779"/>
    </row>
    <row r="45" spans="1:30">
      <c r="A45" s="732">
        <v>46262</v>
      </c>
      <c r="B45" s="814" t="s">
        <v>517</v>
      </c>
      <c r="C45" s="819" t="s">
        <v>309</v>
      </c>
      <c r="D45" s="712" t="s">
        <v>226</v>
      </c>
      <c r="E45" s="714" t="s">
        <v>310</v>
      </c>
      <c r="F45" s="746" t="s">
        <v>518</v>
      </c>
      <c r="G45" s="734">
        <v>332</v>
      </c>
      <c r="H45" s="735">
        <v>1</v>
      </c>
      <c r="I45" s="736">
        <v>332</v>
      </c>
      <c r="J45" s="713">
        <v>3000012</v>
      </c>
      <c r="K45" s="737"/>
      <c r="L45" s="736">
        <v>332</v>
      </c>
      <c r="M45" s="736">
        <f t="shared" si="29"/>
        <v>332</v>
      </c>
      <c r="N45" s="712"/>
      <c r="O45" s="712"/>
      <c r="P45" s="712"/>
      <c r="Q45" s="737">
        <v>46283</v>
      </c>
      <c r="R45" s="737">
        <v>46313</v>
      </c>
      <c r="S45" s="714" t="s">
        <v>84</v>
      </c>
      <c r="T45" s="734"/>
      <c r="U45" s="717"/>
      <c r="V45" s="746" t="s">
        <v>519</v>
      </c>
      <c r="W45" s="718" t="str">
        <f t="shared" si="32"/>
        <v/>
      </c>
      <c r="X45" s="719" t="str">
        <f t="shared" si="33"/>
        <v/>
      </c>
      <c r="Y45" s="720">
        <f t="shared" si="25"/>
        <v>332</v>
      </c>
      <c r="Z45" s="721" t="str">
        <f t="shared" si="26"/>
        <v/>
      </c>
      <c r="AA45" s="721" t="str">
        <f t="shared" si="27"/>
        <v/>
      </c>
      <c r="AB45" s="722" t="str">
        <f t="shared" si="28"/>
        <v/>
      </c>
      <c r="AC45" s="779"/>
      <c r="AD45" s="675"/>
    </row>
    <row r="46" spans="1:30">
      <c r="A46" s="732">
        <v>46262</v>
      </c>
      <c r="B46" s="814" t="s">
        <v>520</v>
      </c>
      <c r="C46" s="819" t="s">
        <v>306</v>
      </c>
      <c r="D46" s="712" t="s">
        <v>226</v>
      </c>
      <c r="E46" s="714" t="s">
        <v>307</v>
      </c>
      <c r="F46" s="746" t="s">
        <v>521</v>
      </c>
      <c r="G46" s="734">
        <v>2523</v>
      </c>
      <c r="H46" s="735">
        <v>1</v>
      </c>
      <c r="I46" s="736">
        <f>G46*H46</f>
        <v>2523</v>
      </c>
      <c r="J46" s="713">
        <v>3000007</v>
      </c>
      <c r="K46" s="737"/>
      <c r="L46" s="734">
        <f>I46</f>
        <v>2523</v>
      </c>
      <c r="M46" s="736">
        <f t="shared" si="29"/>
        <v>2523</v>
      </c>
      <c r="N46" s="712"/>
      <c r="O46" s="712"/>
      <c r="P46" s="712"/>
      <c r="Q46" s="737">
        <v>46283</v>
      </c>
      <c r="R46" s="737">
        <v>46313</v>
      </c>
      <c r="S46" s="714" t="s">
        <v>84</v>
      </c>
      <c r="T46" s="734"/>
      <c r="U46" s="717"/>
      <c r="V46" s="746" t="s">
        <v>522</v>
      </c>
      <c r="W46" s="718" t="str">
        <f t="shared" si="32"/>
        <v/>
      </c>
      <c r="X46" s="719" t="str">
        <f t="shared" si="33"/>
        <v/>
      </c>
      <c r="Y46" s="720">
        <f t="shared" si="25"/>
        <v>2523</v>
      </c>
      <c r="Z46" s="721" t="str">
        <f t="shared" si="26"/>
        <v/>
      </c>
      <c r="AA46" s="721" t="str">
        <f t="shared" si="27"/>
        <v/>
      </c>
      <c r="AB46" s="722" t="str">
        <f t="shared" si="28"/>
        <v/>
      </c>
      <c r="AC46" s="779"/>
      <c r="AD46" s="675"/>
    </row>
    <row r="47" spans="1:30">
      <c r="A47" s="732">
        <v>46262</v>
      </c>
      <c r="B47" s="814" t="s">
        <v>523</v>
      </c>
      <c r="C47" s="819" t="s">
        <v>303</v>
      </c>
      <c r="D47" s="712" t="s">
        <v>226</v>
      </c>
      <c r="E47" s="714" t="s">
        <v>304</v>
      </c>
      <c r="F47" s="746" t="s">
        <v>524</v>
      </c>
      <c r="G47" s="734">
        <v>194.68</v>
      </c>
      <c r="H47" s="735">
        <v>1</v>
      </c>
      <c r="I47" s="734">
        <v>194.68</v>
      </c>
      <c r="J47" s="713">
        <v>3000007</v>
      </c>
      <c r="K47" s="737"/>
      <c r="L47" s="734">
        <f>I47</f>
        <v>194.68</v>
      </c>
      <c r="M47" s="736">
        <f t="shared" si="29"/>
        <v>194.68</v>
      </c>
      <c r="N47" s="712"/>
      <c r="O47" s="712"/>
      <c r="P47" s="712"/>
      <c r="Q47" s="737">
        <v>46283</v>
      </c>
      <c r="R47" s="737">
        <v>46313</v>
      </c>
      <c r="S47" s="714" t="s">
        <v>84</v>
      </c>
      <c r="T47" s="734"/>
      <c r="U47" s="717"/>
      <c r="V47" s="746" t="s">
        <v>525</v>
      </c>
      <c r="W47" s="718" t="str">
        <f t="shared" si="32"/>
        <v/>
      </c>
      <c r="X47" s="719" t="str">
        <f t="shared" si="33"/>
        <v/>
      </c>
      <c r="Y47" s="720">
        <f t="shared" si="25"/>
        <v>194.68</v>
      </c>
      <c r="Z47" s="721" t="str">
        <f t="shared" si="26"/>
        <v/>
      </c>
      <c r="AA47" s="721" t="str">
        <f t="shared" si="27"/>
        <v/>
      </c>
      <c r="AB47" s="722" t="str">
        <f t="shared" si="28"/>
        <v/>
      </c>
      <c r="AC47" s="779"/>
      <c r="AD47" s="675"/>
    </row>
    <row r="48" spans="1:30">
      <c r="A48" s="732">
        <v>46262</v>
      </c>
      <c r="B48" s="712" t="s">
        <v>526</v>
      </c>
      <c r="C48" s="740" t="s">
        <v>355</v>
      </c>
      <c r="D48" s="712" t="s">
        <v>226</v>
      </c>
      <c r="E48" s="714" t="s">
        <v>356</v>
      </c>
      <c r="F48" s="775" t="s">
        <v>527</v>
      </c>
      <c r="G48" s="734">
        <v>6971.22</v>
      </c>
      <c r="H48" s="735">
        <v>1</v>
      </c>
      <c r="I48" s="736">
        <f t="shared" ref="I48:I55" si="34">G48*H48</f>
        <v>6971.22</v>
      </c>
      <c r="J48" s="713">
        <v>2000011</v>
      </c>
      <c r="K48" s="737"/>
      <c r="L48" s="736">
        <f t="shared" ref="L48:L55" si="35">I48</f>
        <v>6971.22</v>
      </c>
      <c r="M48" s="736">
        <v>7438.57</v>
      </c>
      <c r="N48" s="712"/>
      <c r="O48" s="712"/>
      <c r="P48" s="712"/>
      <c r="Q48" s="737">
        <v>46283</v>
      </c>
      <c r="R48" s="737">
        <v>46313</v>
      </c>
      <c r="S48" s="714" t="s">
        <v>84</v>
      </c>
      <c r="T48" s="716"/>
      <c r="U48" s="774"/>
      <c r="V48" s="746" t="s">
        <v>528</v>
      </c>
      <c r="W48" s="718" t="str">
        <f t="shared" si="32"/>
        <v/>
      </c>
      <c r="X48" s="719" t="str">
        <f t="shared" si="33"/>
        <v/>
      </c>
      <c r="Y48" s="720">
        <f t="shared" si="25"/>
        <v>7438.57</v>
      </c>
      <c r="Z48" s="721" t="str">
        <f t="shared" si="26"/>
        <v/>
      </c>
      <c r="AA48" s="721" t="str">
        <f t="shared" si="27"/>
        <v/>
      </c>
      <c r="AB48" s="722" t="str">
        <f t="shared" si="28"/>
        <v/>
      </c>
      <c r="AC48" s="749" t="str">
        <f t="shared" ref="AC48:AC50" si="36">IF(S50="Completed",M50,"")</f>
        <v/>
      </c>
      <c r="AD48" s="675"/>
    </row>
    <row r="49" spans="1:349">
      <c r="A49" s="732">
        <v>46262</v>
      </c>
      <c r="B49" s="712" t="s">
        <v>529</v>
      </c>
      <c r="C49" s="740" t="s">
        <v>344</v>
      </c>
      <c r="D49" s="712" t="s">
        <v>291</v>
      </c>
      <c r="E49" s="714" t="s">
        <v>345</v>
      </c>
      <c r="F49" s="746" t="s">
        <v>530</v>
      </c>
      <c r="G49" s="734">
        <v>485</v>
      </c>
      <c r="H49" s="735">
        <v>1</v>
      </c>
      <c r="I49" s="736">
        <f t="shared" si="34"/>
        <v>485</v>
      </c>
      <c r="J49" s="713">
        <v>3000003</v>
      </c>
      <c r="K49" s="737"/>
      <c r="L49" s="736">
        <f t="shared" si="35"/>
        <v>485</v>
      </c>
      <c r="M49" s="736">
        <f t="shared" ref="M49:M55" si="37">L49</f>
        <v>485</v>
      </c>
      <c r="N49" s="712"/>
      <c r="O49" s="712"/>
      <c r="P49" s="712"/>
      <c r="Q49" s="737">
        <v>46287</v>
      </c>
      <c r="R49" s="737"/>
      <c r="S49" s="714" t="s">
        <v>84</v>
      </c>
      <c r="T49" s="734"/>
      <c r="U49" s="717"/>
      <c r="V49" s="775" t="s">
        <v>531</v>
      </c>
      <c r="W49" s="718" t="str">
        <f t="shared" si="32"/>
        <v/>
      </c>
      <c r="X49" s="719" t="str">
        <f t="shared" si="33"/>
        <v/>
      </c>
      <c r="Y49" s="720">
        <f t="shared" si="25"/>
        <v>485</v>
      </c>
      <c r="Z49" s="721" t="str">
        <f t="shared" si="26"/>
        <v/>
      </c>
      <c r="AA49" s="721" t="str">
        <f t="shared" si="27"/>
        <v/>
      </c>
      <c r="AB49" s="722" t="str">
        <f t="shared" si="28"/>
        <v/>
      </c>
      <c r="AC49" s="749" t="str">
        <f t="shared" si="36"/>
        <v/>
      </c>
      <c r="AD49" s="675"/>
    </row>
    <row r="50" spans="1:349">
      <c r="A50" s="732">
        <v>46262</v>
      </c>
      <c r="B50" s="712" t="s">
        <v>532</v>
      </c>
      <c r="C50" s="740" t="s">
        <v>297</v>
      </c>
      <c r="D50" s="712" t="s">
        <v>291</v>
      </c>
      <c r="E50" s="714" t="s">
        <v>298</v>
      </c>
      <c r="F50" s="746" t="s">
        <v>533</v>
      </c>
      <c r="G50" s="734">
        <v>31.56</v>
      </c>
      <c r="H50" s="735">
        <v>1</v>
      </c>
      <c r="I50" s="736">
        <f t="shared" si="34"/>
        <v>31.56</v>
      </c>
      <c r="J50" s="713">
        <v>3000007</v>
      </c>
      <c r="K50" s="737"/>
      <c r="L50" s="736">
        <f t="shared" si="35"/>
        <v>31.56</v>
      </c>
      <c r="M50" s="736">
        <f t="shared" si="37"/>
        <v>31.56</v>
      </c>
      <c r="N50" s="712"/>
      <c r="O50" s="712"/>
      <c r="P50" s="712"/>
      <c r="Q50" s="737">
        <v>46287</v>
      </c>
      <c r="R50" s="737"/>
      <c r="S50" s="714" t="s">
        <v>84</v>
      </c>
      <c r="T50" s="734"/>
      <c r="U50" s="717"/>
      <c r="V50" s="746" t="s">
        <v>534</v>
      </c>
      <c r="W50" s="718" t="str">
        <f t="shared" si="32"/>
        <v/>
      </c>
      <c r="X50" s="719" t="str">
        <f t="shared" si="33"/>
        <v/>
      </c>
      <c r="Y50" s="720">
        <f t="shared" si="25"/>
        <v>31.56</v>
      </c>
      <c r="Z50" s="721" t="str">
        <f t="shared" si="26"/>
        <v/>
      </c>
      <c r="AA50" s="721" t="str">
        <f t="shared" si="27"/>
        <v/>
      </c>
      <c r="AB50" s="722" t="str">
        <f t="shared" si="28"/>
        <v/>
      </c>
      <c r="AC50" s="749" t="str">
        <f t="shared" si="36"/>
        <v/>
      </c>
      <c r="AD50" s="675"/>
    </row>
    <row r="51" spans="1:349">
      <c r="A51" s="732">
        <v>46262</v>
      </c>
      <c r="B51" s="712" t="s">
        <v>535</v>
      </c>
      <c r="C51" s="740" t="s">
        <v>294</v>
      </c>
      <c r="D51" s="712" t="s">
        <v>291</v>
      </c>
      <c r="E51" s="714" t="s">
        <v>295</v>
      </c>
      <c r="F51" s="746" t="s">
        <v>536</v>
      </c>
      <c r="G51" s="734">
        <v>821.22</v>
      </c>
      <c r="H51" s="735">
        <v>1</v>
      </c>
      <c r="I51" s="736">
        <f t="shared" si="34"/>
        <v>821.22</v>
      </c>
      <c r="J51" s="713">
        <v>3000007</v>
      </c>
      <c r="K51" s="737"/>
      <c r="L51" s="736">
        <f t="shared" si="35"/>
        <v>821.22</v>
      </c>
      <c r="M51" s="736">
        <f t="shared" si="37"/>
        <v>821.22</v>
      </c>
      <c r="N51" s="712"/>
      <c r="O51" s="712"/>
      <c r="P51" s="712"/>
      <c r="Q51" s="737">
        <v>46287</v>
      </c>
      <c r="R51" s="737"/>
      <c r="S51" s="714" t="s">
        <v>84</v>
      </c>
      <c r="T51" s="734"/>
      <c r="U51" s="717"/>
      <c r="V51" s="746" t="s">
        <v>537</v>
      </c>
      <c r="W51" s="718" t="str">
        <f t="shared" si="32"/>
        <v/>
      </c>
      <c r="X51" s="719" t="str">
        <f t="shared" si="33"/>
        <v/>
      </c>
      <c r="Y51" s="720">
        <f t="shared" si="25"/>
        <v>821.22</v>
      </c>
      <c r="Z51" s="721" t="str">
        <f t="shared" si="26"/>
        <v/>
      </c>
      <c r="AA51" s="721" t="str">
        <f t="shared" si="27"/>
        <v/>
      </c>
      <c r="AB51" s="722" t="str">
        <f t="shared" si="28"/>
        <v/>
      </c>
      <c r="AC51" s="675"/>
      <c r="AD51" s="675"/>
    </row>
    <row r="52" spans="1:349">
      <c r="A52" s="732">
        <v>46262</v>
      </c>
      <c r="B52" s="712" t="s">
        <v>538</v>
      </c>
      <c r="C52" s="740" t="s">
        <v>290</v>
      </c>
      <c r="D52" s="712" t="s">
        <v>291</v>
      </c>
      <c r="E52" s="714" t="s">
        <v>292</v>
      </c>
      <c r="F52" s="746" t="s">
        <v>539</v>
      </c>
      <c r="G52" s="734">
        <v>16</v>
      </c>
      <c r="H52" s="735">
        <v>1</v>
      </c>
      <c r="I52" s="736">
        <f t="shared" si="34"/>
        <v>16</v>
      </c>
      <c r="J52" s="713">
        <v>3000007</v>
      </c>
      <c r="K52" s="737"/>
      <c r="L52" s="736">
        <f t="shared" si="35"/>
        <v>16</v>
      </c>
      <c r="M52" s="736">
        <f t="shared" si="37"/>
        <v>16</v>
      </c>
      <c r="N52" s="712"/>
      <c r="O52" s="712"/>
      <c r="P52" s="712"/>
      <c r="Q52" s="737">
        <v>46287</v>
      </c>
      <c r="R52" s="737"/>
      <c r="S52" s="714" t="s">
        <v>84</v>
      </c>
      <c r="T52" s="734"/>
      <c r="U52" s="717"/>
      <c r="V52" s="746" t="s">
        <v>540</v>
      </c>
      <c r="W52" s="718" t="str">
        <f t="shared" si="32"/>
        <v/>
      </c>
      <c r="X52" s="719" t="str">
        <f t="shared" si="33"/>
        <v/>
      </c>
      <c r="Y52" s="720">
        <f t="shared" si="25"/>
        <v>16</v>
      </c>
      <c r="Z52" s="721" t="str">
        <f t="shared" si="26"/>
        <v/>
      </c>
      <c r="AA52" s="721" t="str">
        <f t="shared" si="27"/>
        <v/>
      </c>
      <c r="AB52" s="722" t="str">
        <f t="shared" si="28"/>
        <v/>
      </c>
      <c r="AC52" s="675"/>
      <c r="AD52" s="675"/>
    </row>
    <row r="53" s="467" customFormat="1" spans="1:349">
      <c r="A53" s="732">
        <v>46262</v>
      </c>
      <c r="B53" s="712" t="s">
        <v>541</v>
      </c>
      <c r="C53" s="740"/>
      <c r="D53" s="712" t="s">
        <v>291</v>
      </c>
      <c r="E53" s="714"/>
      <c r="F53" s="746" t="s">
        <v>542</v>
      </c>
      <c r="G53" s="734">
        <v>3794.85</v>
      </c>
      <c r="H53" s="735">
        <v>1</v>
      </c>
      <c r="I53" s="736">
        <f t="shared" si="34"/>
        <v>3794.85</v>
      </c>
      <c r="J53" s="713">
        <v>4000011</v>
      </c>
      <c r="K53" s="737"/>
      <c r="L53" s="736">
        <f t="shared" si="35"/>
        <v>3794.85</v>
      </c>
      <c r="M53" s="736">
        <f t="shared" si="37"/>
        <v>3794.85</v>
      </c>
      <c r="N53" s="712"/>
      <c r="O53" s="712"/>
      <c r="P53" s="712"/>
      <c r="Q53" s="737"/>
      <c r="R53" s="737"/>
      <c r="S53" s="714" t="s">
        <v>82</v>
      </c>
      <c r="T53" s="716"/>
      <c r="U53" s="774"/>
      <c r="V53" s="818"/>
      <c r="W53" s="718">
        <f t="shared" si="32"/>
        <v>3794.85</v>
      </c>
      <c r="X53" s="719" t="str">
        <f t="shared" si="33"/>
        <v/>
      </c>
      <c r="Y53" s="720" t="str">
        <f t="shared" si="25"/>
        <v/>
      </c>
      <c r="Z53" s="721" t="str">
        <f t="shared" si="26"/>
        <v/>
      </c>
      <c r="AA53" s="721" t="str">
        <f t="shared" si="27"/>
        <v/>
      </c>
      <c r="AB53" s="722" t="str">
        <f t="shared" si="28"/>
        <v/>
      </c>
      <c r="AC53" s="675"/>
      <c r="AD53" s="675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</row>
    <row r="54" spans="1:349">
      <c r="A54" s="755">
        <v>46265</v>
      </c>
      <c r="B54" s="758" t="s">
        <v>543</v>
      </c>
      <c r="C54" s="757"/>
      <c r="D54" s="758"/>
      <c r="E54" s="757"/>
      <c r="F54" s="821" t="s">
        <v>544</v>
      </c>
      <c r="G54" s="785">
        <v>10000</v>
      </c>
      <c r="H54" s="761">
        <v>1</v>
      </c>
      <c r="I54" s="765">
        <f t="shared" si="34"/>
        <v>10000</v>
      </c>
      <c r="J54" s="763">
        <v>6000016</v>
      </c>
      <c r="K54" s="764"/>
      <c r="L54" s="765">
        <f t="shared" si="35"/>
        <v>10000</v>
      </c>
      <c r="M54" s="765">
        <f t="shared" si="37"/>
        <v>10000</v>
      </c>
      <c r="N54" s="758"/>
      <c r="O54" s="758"/>
      <c r="P54" s="758"/>
      <c r="Q54" s="764"/>
      <c r="R54" s="764"/>
      <c r="S54" s="757" t="s">
        <v>87</v>
      </c>
      <c r="T54" s="759"/>
      <c r="U54" s="822" t="s">
        <v>545</v>
      </c>
      <c r="V54" s="821" t="s">
        <v>544</v>
      </c>
      <c r="W54" s="769" t="str">
        <f t="shared" si="32"/>
        <v/>
      </c>
      <c r="X54" s="770" t="str">
        <f t="shared" si="33"/>
        <v/>
      </c>
      <c r="Y54" s="771" t="str">
        <f t="shared" si="25"/>
        <v/>
      </c>
      <c r="Z54" s="772" t="str">
        <f t="shared" si="26"/>
        <v/>
      </c>
      <c r="AA54" s="772" t="str">
        <f t="shared" si="27"/>
        <v/>
      </c>
      <c r="AB54" s="792">
        <f t="shared" si="28"/>
        <v>10000</v>
      </c>
      <c r="AC54" s="675"/>
      <c r="AD54" s="675"/>
    </row>
    <row r="55" s="119" customFormat="1" ht="13" spans="1:349">
      <c r="A55" s="732">
        <v>46265</v>
      </c>
      <c r="B55" s="740" t="s">
        <v>546</v>
      </c>
      <c r="C55" s="823"/>
      <c r="D55" s="742" t="s">
        <v>79</v>
      </c>
      <c r="E55" s="824"/>
      <c r="F55" s="825" t="s">
        <v>547</v>
      </c>
      <c r="G55" s="736">
        <v>5400</v>
      </c>
      <c r="H55" s="735">
        <v>1</v>
      </c>
      <c r="I55" s="736">
        <f t="shared" si="34"/>
        <v>5400</v>
      </c>
      <c r="J55" s="713">
        <v>1000002</v>
      </c>
      <c r="K55" s="826"/>
      <c r="L55" s="736">
        <f t="shared" si="35"/>
        <v>5400</v>
      </c>
      <c r="M55" s="736">
        <f t="shared" si="37"/>
        <v>5400</v>
      </c>
      <c r="N55" s="827"/>
      <c r="O55" s="827"/>
      <c r="P55" s="827"/>
      <c r="Q55" s="827"/>
      <c r="R55" s="827"/>
      <c r="S55" s="828" t="s">
        <v>87</v>
      </c>
      <c r="T55" s="829"/>
      <c r="U55" s="830"/>
      <c r="V55" s="825" t="s">
        <v>547</v>
      </c>
      <c r="W55" s="718" t="str">
        <f t="shared" si="32"/>
        <v/>
      </c>
      <c r="X55" s="719" t="str">
        <f t="shared" si="33"/>
        <v/>
      </c>
      <c r="Y55" s="720" t="str">
        <f t="shared" si="25"/>
        <v/>
      </c>
      <c r="Z55" s="721" t="str">
        <f t="shared" si="26"/>
        <v/>
      </c>
      <c r="AA55" s="721" t="str">
        <f t="shared" si="27"/>
        <v/>
      </c>
      <c r="AB55" s="722">
        <f t="shared" si="28"/>
        <v>5400</v>
      </c>
      <c r="AC55" s="675"/>
      <c r="AD55" s="675"/>
    </row>
    <row r="56" s="467" customFormat="1" spans="1:349">
      <c r="A56" s="732">
        <v>46259</v>
      </c>
      <c r="B56" s="712" t="s">
        <v>548</v>
      </c>
      <c r="C56" s="714"/>
      <c r="D56" s="712"/>
      <c r="E56" s="714"/>
      <c r="F56" s="734"/>
      <c r="G56" s="734"/>
      <c r="H56" s="735"/>
      <c r="I56" s="736"/>
      <c r="J56" s="713">
        <v>6000009</v>
      </c>
      <c r="K56" s="737"/>
      <c r="L56" s="736"/>
      <c r="M56" s="736"/>
      <c r="N56" s="712"/>
      <c r="O56" s="712"/>
      <c r="P56" s="712"/>
      <c r="Q56" s="737"/>
      <c r="R56" s="737"/>
      <c r="S56" s="714"/>
      <c r="T56" s="734">
        <v>50</v>
      </c>
      <c r="U56" s="813" t="s">
        <v>549</v>
      </c>
      <c r="V56" s="712"/>
      <c r="W56" s="718" t="str">
        <f t="shared" si="32"/>
        <v/>
      </c>
      <c r="X56" s="719" t="str">
        <f t="shared" si="33"/>
        <v/>
      </c>
      <c r="Y56" s="720" t="str">
        <f t="shared" si="25"/>
        <v/>
      </c>
      <c r="Z56" s="721" t="str">
        <f t="shared" si="26"/>
        <v/>
      </c>
      <c r="AA56" s="721" t="str">
        <f t="shared" si="27"/>
        <v/>
      </c>
      <c r="AB56" s="722" t="str">
        <f t="shared" si="28"/>
        <v/>
      </c>
      <c r="AC56" s="675"/>
      <c r="AD56" s="675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</row>
    <row r="57" spans="1:349">
      <c r="A57" s="755">
        <v>46248</v>
      </c>
      <c r="B57" s="758" t="s">
        <v>543</v>
      </c>
      <c r="C57" s="757"/>
      <c r="D57" s="758"/>
      <c r="E57" s="757"/>
      <c r="F57" s="821" t="s">
        <v>550</v>
      </c>
      <c r="G57" s="785">
        <v>10000</v>
      </c>
      <c r="H57" s="761">
        <v>1</v>
      </c>
      <c r="I57" s="765">
        <f>G57*H57</f>
        <v>10000</v>
      </c>
      <c r="J57" s="763">
        <v>6000016</v>
      </c>
      <c r="K57" s="764"/>
      <c r="L57" s="765">
        <f>I57</f>
        <v>10000</v>
      </c>
      <c r="M57" s="765">
        <f>L57</f>
        <v>10000</v>
      </c>
      <c r="N57" s="758"/>
      <c r="O57" s="758"/>
      <c r="P57" s="758"/>
      <c r="Q57" s="764"/>
      <c r="R57" s="764"/>
      <c r="S57" s="757" t="s">
        <v>87</v>
      </c>
      <c r="T57" s="759"/>
      <c r="U57" s="767" t="s">
        <v>551</v>
      </c>
      <c r="V57" s="821" t="s">
        <v>552</v>
      </c>
      <c r="W57" s="769" t="str">
        <f t="shared" si="32"/>
        <v/>
      </c>
      <c r="X57" s="770" t="str">
        <f t="shared" si="33"/>
        <v/>
      </c>
      <c r="Y57" s="771" t="str">
        <f t="shared" si="25"/>
        <v/>
      </c>
      <c r="Z57" s="772" t="str">
        <f t="shared" si="26"/>
        <v/>
      </c>
      <c r="AA57" s="772" t="str">
        <f t="shared" si="27"/>
        <v/>
      </c>
      <c r="AB57" s="792">
        <f t="shared" si="28"/>
        <v>10000</v>
      </c>
      <c r="AC57" s="675"/>
      <c r="AD57" s="675"/>
    </row>
    <row r="58" spans="1:349">
      <c r="A58" s="831">
        <v>46238</v>
      </c>
      <c r="B58" s="742" t="s">
        <v>553</v>
      </c>
      <c r="C58" s="832"/>
      <c r="D58" s="833" t="s">
        <v>375</v>
      </c>
      <c r="E58" s="834" t="s">
        <v>554</v>
      </c>
      <c r="F58" s="835" t="s">
        <v>555</v>
      </c>
      <c r="G58" s="736">
        <v>2000</v>
      </c>
      <c r="H58" s="836">
        <v>1</v>
      </c>
      <c r="I58" s="837">
        <f>G58*H58</f>
        <v>2000</v>
      </c>
      <c r="J58" s="834">
        <v>6000007</v>
      </c>
      <c r="K58" s="838">
        <v>46238</v>
      </c>
      <c r="L58" s="736">
        <f>I58</f>
        <v>2000</v>
      </c>
      <c r="M58" s="837">
        <f>L58</f>
        <v>2000</v>
      </c>
      <c r="N58" s="832"/>
      <c r="O58" s="832"/>
      <c r="P58" s="832"/>
      <c r="Q58" s="838">
        <v>46238</v>
      </c>
      <c r="R58" s="838"/>
      <c r="S58" s="834" t="s">
        <v>87</v>
      </c>
      <c r="T58" s="839">
        <v>20</v>
      </c>
      <c r="U58" s="739" t="s">
        <v>556</v>
      </c>
      <c r="V58" s="835" t="s">
        <v>555</v>
      </c>
      <c r="W58" s="718" t="str">
        <f t="shared" si="32"/>
        <v/>
      </c>
      <c r="X58" s="719" t="str">
        <f t="shared" si="33"/>
        <v/>
      </c>
      <c r="Y58" s="720" t="str">
        <f t="shared" si="25"/>
        <v/>
      </c>
      <c r="Z58" s="721" t="str">
        <f t="shared" si="26"/>
        <v/>
      </c>
      <c r="AA58" s="721" t="str">
        <f t="shared" si="27"/>
        <v/>
      </c>
      <c r="AB58" s="722">
        <f t="shared" si="28"/>
        <v>2000</v>
      </c>
      <c r="AC58" s="675"/>
      <c r="AD58" s="675"/>
    </row>
    <row r="59" spans="1:349">
      <c r="A59" s="840">
        <v>46237</v>
      </c>
      <c r="B59" s="841" t="s">
        <v>557</v>
      </c>
      <c r="C59" s="713"/>
      <c r="D59" s="742" t="s">
        <v>79</v>
      </c>
      <c r="E59" s="715"/>
      <c r="F59" s="842" t="s">
        <v>558</v>
      </c>
      <c r="G59" s="736">
        <v>1544</v>
      </c>
      <c r="H59" s="843">
        <v>1</v>
      </c>
      <c r="I59" s="744">
        <f>G59*H59</f>
        <v>1544</v>
      </c>
      <c r="J59" s="713">
        <v>1000002</v>
      </c>
      <c r="K59" s="737">
        <v>46237</v>
      </c>
      <c r="L59" s="744">
        <f>I59</f>
        <v>1544</v>
      </c>
      <c r="M59" s="744">
        <f>L59</f>
        <v>1544</v>
      </c>
      <c r="N59" s="844"/>
      <c r="O59" s="844"/>
      <c r="P59" s="844"/>
      <c r="Q59" s="845"/>
      <c r="R59" s="845"/>
      <c r="S59" s="846" t="s">
        <v>87</v>
      </c>
      <c r="T59" s="847"/>
      <c r="U59" s="848"/>
      <c r="V59" s="842" t="s">
        <v>558</v>
      </c>
      <c r="W59" s="718" t="str">
        <f t="shared" si="32"/>
        <v/>
      </c>
      <c r="X59" s="719" t="str">
        <f t="shared" si="33"/>
        <v/>
      </c>
      <c r="Y59" s="720" t="str">
        <f t="shared" si="25"/>
        <v/>
      </c>
      <c r="Z59" s="721" t="str">
        <f t="shared" si="26"/>
        <v/>
      </c>
      <c r="AA59" s="721" t="str">
        <f t="shared" si="27"/>
        <v/>
      </c>
      <c r="AB59" s="722">
        <f t="shared" si="28"/>
        <v>1544</v>
      </c>
      <c r="AC59" s="675"/>
      <c r="AD59" s="675"/>
    </row>
    <row r="60" spans="1:349">
      <c r="A60" s="849">
        <v>46238</v>
      </c>
      <c r="B60" s="850" t="s">
        <v>559</v>
      </c>
      <c r="C60" s="851"/>
      <c r="D60" s="850" t="s">
        <v>79</v>
      </c>
      <c r="E60" s="852"/>
      <c r="F60" s="853" t="s">
        <v>560</v>
      </c>
      <c r="G60" s="854">
        <v>50000</v>
      </c>
      <c r="H60" s="855">
        <v>1</v>
      </c>
      <c r="I60" s="856">
        <v>50000</v>
      </c>
      <c r="J60" s="857">
        <v>6000007</v>
      </c>
      <c r="K60" s="858"/>
      <c r="L60" s="859">
        <v>50000</v>
      </c>
      <c r="M60" s="859">
        <v>50000</v>
      </c>
      <c r="N60" s="851"/>
      <c r="O60" s="851"/>
      <c r="P60" s="752"/>
      <c r="Q60" s="737"/>
      <c r="R60" s="737"/>
      <c r="S60" s="714"/>
      <c r="T60" s="734">
        <v>200</v>
      </c>
      <c r="U60" s="798" t="s">
        <v>561</v>
      </c>
      <c r="V60" s="825" t="s">
        <v>560</v>
      </c>
      <c r="W60" s="718" t="str">
        <f t="shared" si="32"/>
        <v/>
      </c>
      <c r="X60" s="719" t="str">
        <f t="shared" si="33"/>
        <v/>
      </c>
      <c r="Y60" s="720" t="str">
        <f t="shared" si="25"/>
        <v/>
      </c>
      <c r="Z60" s="721" t="str">
        <f t="shared" si="26"/>
        <v/>
      </c>
      <c r="AA60" s="721" t="str">
        <f t="shared" si="27"/>
        <v/>
      </c>
      <c r="AB60" s="722" t="str">
        <f t="shared" si="28"/>
        <v/>
      </c>
      <c r="AC60" s="675"/>
      <c r="AD60" s="675"/>
    </row>
    <row r="61" ht="13.25" spans="1:349">
      <c r="A61" s="860">
        <v>46233</v>
      </c>
      <c r="B61" s="861" t="s">
        <v>562</v>
      </c>
      <c r="C61" s="862"/>
      <c r="D61" s="863" t="s">
        <v>79</v>
      </c>
      <c r="E61" s="864"/>
      <c r="F61" s="865" t="s">
        <v>563</v>
      </c>
      <c r="G61" s="866">
        <v>14815</v>
      </c>
      <c r="H61" s="867">
        <v>1</v>
      </c>
      <c r="I61" s="868">
        <v>14815</v>
      </c>
      <c r="J61" s="869">
        <v>6000007</v>
      </c>
      <c r="K61" s="870">
        <v>46233</v>
      </c>
      <c r="L61" s="868">
        <v>14815</v>
      </c>
      <c r="M61" s="868">
        <v>14815</v>
      </c>
      <c r="N61" s="871"/>
      <c r="O61" s="864"/>
      <c r="P61" s="864"/>
      <c r="Q61" s="872"/>
      <c r="R61" s="872"/>
      <c r="S61" s="873"/>
      <c r="T61" s="874">
        <v>200</v>
      </c>
      <c r="U61" s="875"/>
      <c r="V61" s="876" t="s">
        <v>563</v>
      </c>
      <c r="W61" s="877" t="str">
        <f t="shared" si="32"/>
        <v/>
      </c>
      <c r="X61" s="878" t="str">
        <f t="shared" si="33"/>
        <v/>
      </c>
      <c r="Y61" s="879" t="str">
        <f t="shared" si="25"/>
        <v/>
      </c>
      <c r="Z61" s="880" t="str">
        <f t="shared" si="26"/>
        <v/>
      </c>
      <c r="AA61" s="880" t="str">
        <f t="shared" si="27"/>
        <v/>
      </c>
      <c r="AB61" s="881" t="str">
        <f t="shared" si="28"/>
        <v/>
      </c>
      <c r="AC61" s="675"/>
      <c r="AD61" s="675"/>
    </row>
    <row r="62" spans="1:349">
      <c r="A62" s="882"/>
      <c r="B62" s="675"/>
      <c r="C62" s="675"/>
      <c r="D62" s="883"/>
      <c r="E62" s="884"/>
      <c r="F62" s="796"/>
      <c r="G62" s="675"/>
      <c r="H62" s="796"/>
      <c r="I62" s="675"/>
      <c r="J62" s="885"/>
      <c r="K62" s="675"/>
      <c r="L62" s="675"/>
      <c r="M62" s="675"/>
      <c r="N62" s="675"/>
      <c r="O62" s="675"/>
      <c r="P62" s="675"/>
      <c r="Q62" s="675"/>
      <c r="R62" s="675"/>
      <c r="S62" s="675"/>
      <c r="T62" s="796"/>
      <c r="U62" s="675"/>
      <c r="V62" s="675"/>
      <c r="W62" s="675"/>
      <c r="X62" s="675"/>
      <c r="Y62" s="675"/>
      <c r="Z62" s="675"/>
      <c r="AA62" s="675"/>
      <c r="AB62" s="749" t="str">
        <f t="shared" si="28"/>
        <v/>
      </c>
      <c r="AC62" s="675"/>
      <c r="AD62" s="675"/>
    </row>
    <row r="63" spans="1:349">
      <c r="A63" s="882"/>
      <c r="B63" s="675"/>
      <c r="C63" s="675"/>
      <c r="D63" s="883"/>
      <c r="E63" s="884"/>
      <c r="F63" s="796"/>
      <c r="G63" s="796"/>
      <c r="H63" s="675"/>
      <c r="I63" s="675"/>
      <c r="J63" s="885"/>
      <c r="K63" s="675"/>
      <c r="L63" s="675"/>
      <c r="M63" s="675"/>
      <c r="N63" s="675"/>
      <c r="O63" s="675"/>
      <c r="P63" s="675"/>
      <c r="Q63" s="675"/>
      <c r="R63" s="675"/>
      <c r="S63" s="675"/>
      <c r="T63" s="796"/>
      <c r="U63" s="675"/>
      <c r="V63" s="675"/>
      <c r="W63" s="779"/>
      <c r="X63" s="675"/>
      <c r="Y63" s="675"/>
      <c r="Z63" s="675"/>
      <c r="AA63" s="675"/>
      <c r="AB63" s="675"/>
      <c r="AC63" s="675"/>
      <c r="AD63" s="675"/>
    </row>
    <row r="64" spans="1:349">
      <c r="A64" s="882"/>
      <c r="B64" s="675"/>
      <c r="C64" s="675"/>
      <c r="D64" s="883"/>
      <c r="E64" s="884"/>
      <c r="F64" s="796"/>
      <c r="G64" s="796"/>
      <c r="H64" s="796"/>
      <c r="I64" s="675"/>
      <c r="J64" s="885"/>
      <c r="K64" s="675"/>
      <c r="L64" s="675"/>
      <c r="M64" s="675"/>
      <c r="N64" s="675"/>
      <c r="O64" s="675"/>
      <c r="P64" s="675"/>
      <c r="Q64" s="886"/>
      <c r="R64" s="675"/>
      <c r="S64" s="675"/>
      <c r="T64" s="796"/>
      <c r="U64" s="675"/>
      <c r="V64" s="675"/>
      <c r="W64" s="675"/>
      <c r="X64" s="675"/>
      <c r="Y64" s="675"/>
      <c r="Z64" s="675"/>
      <c r="AA64" s="675"/>
      <c r="AB64" s="675"/>
      <c r="AC64" s="675"/>
      <c r="AD64" s="675"/>
    </row>
    <row r="65" spans="1:30">
      <c r="A65" s="882"/>
      <c r="B65" s="675"/>
      <c r="C65" s="675"/>
      <c r="D65" s="883"/>
      <c r="E65" s="884"/>
      <c r="F65" s="796"/>
      <c r="G65" s="796"/>
      <c r="H65" s="675"/>
      <c r="I65" s="779"/>
      <c r="J65" s="885"/>
      <c r="K65" s="675"/>
      <c r="L65" s="675"/>
      <c r="M65" s="675"/>
      <c r="N65" s="675"/>
      <c r="O65" s="675"/>
      <c r="P65" s="675"/>
      <c r="Q65" s="675"/>
      <c r="R65" s="675"/>
      <c r="S65" s="675"/>
      <c r="T65" s="796"/>
      <c r="U65" s="675"/>
      <c r="V65" s="675"/>
      <c r="W65" s="675"/>
      <c r="X65" s="675"/>
      <c r="Y65" s="675"/>
      <c r="Z65" s="675"/>
      <c r="AA65" s="675"/>
      <c r="AB65" s="675"/>
      <c r="AC65" s="675"/>
      <c r="AD65" s="675"/>
    </row>
    <row r="66" spans="1:30">
      <c r="A66" s="882"/>
      <c r="B66" s="675"/>
      <c r="C66" s="675"/>
      <c r="D66" s="883"/>
      <c r="E66" s="884"/>
      <c r="F66" s="675"/>
      <c r="G66" s="796"/>
      <c r="H66" s="675"/>
      <c r="I66" s="675"/>
      <c r="J66" s="885"/>
      <c r="K66" s="675"/>
      <c r="L66" s="675"/>
      <c r="M66" s="675"/>
      <c r="N66" s="675"/>
      <c r="O66" s="675"/>
      <c r="P66" s="675"/>
      <c r="Q66" s="675"/>
      <c r="R66" s="675"/>
      <c r="S66" s="675"/>
      <c r="T66" s="796"/>
      <c r="U66" s="675"/>
      <c r="V66" s="675"/>
      <c r="W66" s="675"/>
      <c r="X66" s="675"/>
      <c r="Y66" s="675"/>
      <c r="Z66" s="675"/>
      <c r="AA66" s="675"/>
      <c r="AB66" s="675"/>
      <c r="AC66" s="675"/>
      <c r="AD66" s="675"/>
    </row>
    <row r="67" spans="1:30">
      <c r="A67" s="882"/>
      <c r="B67" s="675"/>
      <c r="C67" s="675"/>
      <c r="D67" s="883"/>
      <c r="E67" s="884"/>
      <c r="F67" s="796"/>
      <c r="G67" s="796"/>
      <c r="H67" s="675"/>
      <c r="I67" s="675"/>
      <c r="J67" s="885"/>
      <c r="K67" s="675"/>
      <c r="L67" s="675"/>
      <c r="M67" s="675"/>
      <c r="N67" s="675"/>
      <c r="O67" s="675"/>
      <c r="P67" s="675"/>
      <c r="Q67" s="675"/>
      <c r="R67" s="675"/>
      <c r="S67" s="675"/>
      <c r="T67" s="796"/>
      <c r="U67" s="675"/>
      <c r="V67" s="675"/>
      <c r="W67" s="675"/>
      <c r="X67" s="675"/>
      <c r="Y67" s="675"/>
      <c r="Z67" s="675"/>
      <c r="AA67" s="675"/>
      <c r="AB67" s="675"/>
      <c r="AC67" s="675"/>
      <c r="AD67" s="675"/>
    </row>
    <row r="68" spans="1:30">
      <c r="G68" s="466"/>
    </row>
    <row r="69" spans="1:30">
      <c r="G69" s="466"/>
    </row>
    <row r="70" spans="1:30">
      <c r="G70" s="887"/>
    </row>
    <row r="71" ht="13" spans="1:30">
      <c r="C71" s="119"/>
      <c r="G71" s="887"/>
    </row>
    <row r="72" ht="13" spans="1:30">
      <c r="C72" s="119"/>
    </row>
  </sheetData>
  <autoFilter xmlns:etc="http://www.wps.cn/officeDocument/2017/etCustomData" ref="A1:AD62" etc:filterBottomFollowUsedRange="0">
    <extLst/>
  </autoFilter>
  <mergeCells count="1">
    <mergeCell ref="U23:U24"/>
  </mergeCells>
  <conditionalFormatting sqref="S5">
    <cfRule type="cellIs" dxfId="4" priority="2" stopIfTrue="1" operator="equal">
      <formula>"Receiving"</formula>
    </cfRule>
    <cfRule type="containsText" dxfId="5" priority="1" stopIfTrue="1" operator="between" text="Paying">
      <formula>NOT(ISERROR(SEARCH("Paying",S5)))</formula>
    </cfRule>
  </conditionalFormatting>
  <conditionalFormatting sqref="S6">
    <cfRule type="containsText" dxfId="5" priority="13" stopIfTrue="1" operator="between" text="Paying">
      <formula>NOT(ISERROR(SEARCH("Paying",S6)))</formula>
    </cfRule>
    <cfRule type="cellIs" dxfId="4" priority="14" stopIfTrue="1" operator="equal">
      <formula>"Receiving"</formula>
    </cfRule>
  </conditionalFormatting>
  <conditionalFormatting sqref="S7">
    <cfRule type="containsText" dxfId="11" priority="70" stopIfTrue="1" operator="between" text="Paying">
      <formula>NOT(ISERROR(SEARCH("Paying",S7)))</formula>
    </cfRule>
    <cfRule type="containsText" dxfId="12" priority="71" stopIfTrue="1" operator="between" text="Approved">
      <formula>NOT(ISERROR(SEARCH("Approved",S7)))</formula>
    </cfRule>
    <cfRule type="containsText" dxfId="13" priority="72" stopIfTrue="1" operator="between" text="Paying">
      <formula>NOT(ISERROR(SEARCH("Paying",S7)))</formula>
    </cfRule>
    <cfRule type="containsText" dxfId="5" priority="73" stopIfTrue="1" operator="between" text="Uploaded">
      <formula>NOT(ISERROR(SEARCH("Uploaded",S7)))</formula>
    </cfRule>
    <cfRule type="containsText" dxfId="3" priority="74" stopIfTrue="1" operator="between" text="Received">
      <formula>NOT(ISERROR(SEARCH("Received",S7)))</formula>
    </cfRule>
    <cfRule type="containsText" dxfId="2" priority="75" stopIfTrue="1" operator="between" text="Completed">
      <formula>NOT(ISERROR(SEARCH("Completed",S7)))</formula>
    </cfRule>
    <cfRule type="cellIs" dxfId="4" priority="76" stopIfTrue="1" operator="equal">
      <formula>"Receiving"</formula>
    </cfRule>
  </conditionalFormatting>
  <conditionalFormatting sqref="AD7">
    <cfRule type="containsText" dxfId="6" priority="77" operator="between" text="船东付">
      <formula>NOT(ISERROR(SEARCH("船东付",AD7)))</formula>
    </cfRule>
    <cfRule type="containsText" dxfId="7" priority="78" operator="between" text="船东付">
      <formula>NOT(ISERROR(SEARCH("船东付",AD7)))</formula>
    </cfRule>
    <cfRule type="containsText" dxfId="8" priority="79" operator="between" text="待收">
      <formula>NOT(ISERROR(SEARCH("待收",AD7)))</formula>
    </cfRule>
    <cfRule type="containsText" dxfId="9" priority="80" operator="between" text="已开票">
      <formula>NOT(ISERROR(SEARCH("已开票",AD7)))</formula>
    </cfRule>
    <cfRule type="containsText" dxfId="8" priority="81" operator="between" text="已开票">
      <formula>NOT(ISERROR(SEARCH("已开票",AD7)))</formula>
    </cfRule>
    <cfRule type="containsText" dxfId="10" priority="82" operator="between" text="已收">
      <formula>NOT(ISERROR(SEARCH("已收",AD7)))</formula>
    </cfRule>
  </conditionalFormatting>
  <conditionalFormatting sqref="S11">
    <cfRule type="cellIs" dxfId="4" priority="4" stopIfTrue="1" operator="equal">
      <formula>"Receiving"</formula>
    </cfRule>
  </conditionalFormatting>
  <conditionalFormatting sqref="AD16">
    <cfRule type="containsText" dxfId="15" priority="24" operator="between" text="船东付">
      <formula>NOT(ISERROR(SEARCH("船东付",AD16)))</formula>
    </cfRule>
    <cfRule type="containsText" dxfId="16" priority="25" operator="between" text="船东付">
      <formula>NOT(ISERROR(SEARCH("船东付",AD16)))</formula>
    </cfRule>
    <cfRule type="containsText" dxfId="17" priority="26" operator="between" text="已开票">
      <formula>NOT(ISERROR(SEARCH("已开票",AD16)))</formula>
    </cfRule>
    <cfRule type="containsText" dxfId="8" priority="27" operator="between" text="待收">
      <formula>NOT(ISERROR(SEARCH("待收",AD16)))</formula>
    </cfRule>
    <cfRule type="containsText" dxfId="9" priority="28" operator="between" text="已开票">
      <formula>NOT(ISERROR(SEARCH("已开票",AD16)))</formula>
    </cfRule>
    <cfRule type="containsText" dxfId="8" priority="29" operator="between" text="已开票">
      <formula>NOT(ISERROR(SEARCH("已开票",AD16)))</formula>
    </cfRule>
    <cfRule type="containsText" dxfId="10" priority="30" operator="between" text="已收">
      <formula>NOT(ISERROR(SEARCH("已收",AD16)))</formula>
    </cfRule>
  </conditionalFormatting>
  <conditionalFormatting sqref="AD18">
    <cfRule type="containsText" dxfId="6" priority="131" operator="between" text="船东付">
      <formula>NOT(ISERROR(SEARCH("船东付",AD18)))</formula>
    </cfRule>
    <cfRule type="containsText" dxfId="7" priority="132" operator="between" text="船东付">
      <formula>NOT(ISERROR(SEARCH("船东付",AD18)))</formula>
    </cfRule>
    <cfRule type="containsText" dxfId="8" priority="133" operator="between" text="待收">
      <formula>NOT(ISERROR(SEARCH("待收",AD18)))</formula>
    </cfRule>
    <cfRule type="containsText" dxfId="9" priority="134" operator="between" text="已开票">
      <formula>NOT(ISERROR(SEARCH("已开票",AD18)))</formula>
    </cfRule>
    <cfRule type="containsText" dxfId="8" priority="135" operator="between" text="已开票">
      <formula>NOT(ISERROR(SEARCH("已开票",AD18)))</formula>
    </cfRule>
    <cfRule type="containsText" dxfId="10" priority="136" operator="between" text="已收">
      <formula>NOT(ISERROR(SEARCH("已收",AD18)))</formula>
    </cfRule>
  </conditionalFormatting>
  <conditionalFormatting sqref="S25">
    <cfRule type="cellIs" dxfId="4" priority="6" stopIfTrue="1" operator="equal">
      <formula>"Receiving"</formula>
    </cfRule>
  </conditionalFormatting>
  <conditionalFormatting sqref="S26">
    <cfRule type="containsText" dxfId="11" priority="100" stopIfTrue="1" operator="between" text="Paying">
      <formula>NOT(ISERROR(SEARCH("Paying",S26)))</formula>
    </cfRule>
    <cfRule type="containsText" dxfId="12" priority="101" stopIfTrue="1" operator="between" text="Approved">
      <formula>NOT(ISERROR(SEARCH("Approved",S26)))</formula>
    </cfRule>
    <cfRule type="containsText" dxfId="13" priority="102" stopIfTrue="1" operator="between" text="Paying">
      <formula>NOT(ISERROR(SEARCH("Paying",S26)))</formula>
    </cfRule>
    <cfRule type="containsText" dxfId="5" priority="103" stopIfTrue="1" operator="between" text="Uploaded">
      <formula>NOT(ISERROR(SEARCH("Uploaded",S26)))</formula>
    </cfRule>
    <cfRule type="containsText" dxfId="3" priority="104" stopIfTrue="1" operator="between" text="Received">
      <formula>NOT(ISERROR(SEARCH("Received",S26)))</formula>
    </cfRule>
    <cfRule type="containsText" dxfId="2" priority="105" stopIfTrue="1" operator="between" text="Completed">
      <formula>NOT(ISERROR(SEARCH("Completed",S26)))</formula>
    </cfRule>
    <cfRule type="cellIs" dxfId="4" priority="106" stopIfTrue="1" operator="equal">
      <formula>"Receiving"</formula>
    </cfRule>
  </conditionalFormatting>
  <conditionalFormatting sqref="S55">
    <cfRule type="containsText" dxfId="11" priority="180" stopIfTrue="1" operator="between" text="Paying">
      <formula>NOT(ISERROR(SEARCH("Paying",S55)))</formula>
    </cfRule>
    <cfRule type="containsText" dxfId="12" priority="181" stopIfTrue="1" operator="between" text="Approved">
      <formula>NOT(ISERROR(SEARCH("Approved",S55)))</formula>
    </cfRule>
    <cfRule type="containsText" dxfId="13" priority="182" stopIfTrue="1" operator="between" text="Paying">
      <formula>NOT(ISERROR(SEARCH("Paying",S55)))</formula>
    </cfRule>
    <cfRule type="containsText" dxfId="5" priority="183" stopIfTrue="1" operator="between" text="Uploaded">
      <formula>NOT(ISERROR(SEARCH("Uploaded",S55)))</formula>
    </cfRule>
    <cfRule type="containsText" dxfId="3" priority="184" stopIfTrue="1" operator="between" text="Received">
      <formula>NOT(ISERROR(SEARCH("Received",S55)))</formula>
    </cfRule>
    <cfRule type="containsText" dxfId="2" priority="185" stopIfTrue="1" operator="between" text="Completed">
      <formula>NOT(ISERROR(SEARCH("Completed",S55)))</formula>
    </cfRule>
    <cfRule type="cellIs" dxfId="4" priority="186" stopIfTrue="1" operator="equal">
      <formula>"Receiving"</formula>
    </cfRule>
  </conditionalFormatting>
  <conditionalFormatting sqref="S58">
    <cfRule type="containsText" dxfId="3" priority="218" stopIfTrue="1" operator="between" text="APPROVED">
      <formula>NOT(ISERROR(SEARCH("APPROVED",S58)))</formula>
    </cfRule>
    <cfRule type="containsText" dxfId="5" priority="313" stopIfTrue="1" operator="between" text="received">
      <formula>NOT(ISERROR(SEARCH("received",S58)))</formula>
    </cfRule>
  </conditionalFormatting>
  <conditionalFormatting sqref="S59">
    <cfRule type="containsText" dxfId="11" priority="161" stopIfTrue="1" operator="between" text="Paying">
      <formula>NOT(ISERROR(SEARCH("Paying",S59)))</formula>
    </cfRule>
    <cfRule type="containsText" dxfId="12" priority="162" stopIfTrue="1" operator="between" text="Approved">
      <formula>NOT(ISERROR(SEARCH("Approved",S59)))</formula>
    </cfRule>
    <cfRule type="containsText" dxfId="13" priority="163" stopIfTrue="1" operator="between" text="Paying">
      <formula>NOT(ISERROR(SEARCH("Paying",S59)))</formula>
    </cfRule>
    <cfRule type="containsText" dxfId="5" priority="164" stopIfTrue="1" operator="between" text="Uploaded">
      <formula>NOT(ISERROR(SEARCH("Uploaded",S59)))</formula>
    </cfRule>
    <cfRule type="containsText" dxfId="3" priority="165" stopIfTrue="1" operator="between" text="Received">
      <formula>NOT(ISERROR(SEARCH("Received",S59)))</formula>
    </cfRule>
    <cfRule type="containsText" dxfId="2" priority="166" stopIfTrue="1" operator="between" text="Completed">
      <formula>NOT(ISERROR(SEARCH("Completed",S59)))</formula>
    </cfRule>
  </conditionalFormatting>
  <conditionalFormatting sqref="S60">
    <cfRule type="containsText" dxfId="5" priority="141" stopIfTrue="1" operator="between" text="Paying">
      <formula>NOT(ISERROR(SEARCH("Paying",S60)))</formula>
    </cfRule>
  </conditionalFormatting>
  <conditionalFormatting sqref="S8:S9">
    <cfRule type="cellIs" dxfId="4" priority="8" stopIfTrue="1" operator="equal">
      <formula>"Receiving"</formula>
    </cfRule>
  </conditionalFormatting>
  <conditionalFormatting sqref="S8:S11">
    <cfRule type="containsText" dxfId="5" priority="3" stopIfTrue="1" operator="between" text="Paying">
      <formula>NOT(ISERROR(SEARCH("Paying",S8)))</formula>
    </cfRule>
  </conditionalFormatting>
  <conditionalFormatting sqref="S12:S16">
    <cfRule type="containsText" dxfId="11" priority="17" stopIfTrue="1" operator="between" text="Paying">
      <formula>NOT(ISERROR(SEARCH("Paying",S12)))</formula>
    </cfRule>
    <cfRule type="containsText" dxfId="12" priority="18" stopIfTrue="1" operator="between" text="Approved">
      <formula>NOT(ISERROR(SEARCH("Approved",S12)))</formula>
    </cfRule>
    <cfRule type="containsText" dxfId="13" priority="19" stopIfTrue="1" operator="between" text="Paying">
      <formula>NOT(ISERROR(SEARCH("Paying",S12)))</formula>
    </cfRule>
    <cfRule type="containsText" dxfId="5" priority="20" stopIfTrue="1" operator="between" text="Uploaded">
      <formula>NOT(ISERROR(SEARCH("Uploaded",S12)))</formula>
    </cfRule>
    <cfRule type="containsText" dxfId="3" priority="21" stopIfTrue="1" operator="between" text="Received">
      <formula>NOT(ISERROR(SEARCH("Received",S12)))</formula>
    </cfRule>
    <cfRule type="containsText" dxfId="2" priority="22" stopIfTrue="1" operator="between" text="Completed">
      <formula>NOT(ISERROR(SEARCH("Completed",S12)))</formula>
    </cfRule>
  </conditionalFormatting>
  <conditionalFormatting sqref="S12:S24">
    <cfRule type="cellIs" dxfId="4" priority="23" stopIfTrue="1" operator="equal">
      <formula>"Receiving"</formula>
    </cfRule>
  </conditionalFormatting>
  <conditionalFormatting sqref="S17:S25">
    <cfRule type="containsText" dxfId="5" priority="5" stopIfTrue="1" operator="between" text="Paying">
      <formula>NOT(ISERROR(SEARCH("Paying",S17)))</formula>
    </cfRule>
  </conditionalFormatting>
  <conditionalFormatting sqref="S27:S54">
    <cfRule type="containsText" dxfId="5" priority="9" stopIfTrue="1" operator="between" text="Paying">
      <formula>NOT(ISERROR(SEARCH("Paying",S27)))</formula>
    </cfRule>
    <cfRule type="cellIs" dxfId="4" priority="10" stopIfTrue="1" operator="equal">
      <formula>"Receiving"</formula>
    </cfRule>
  </conditionalFormatting>
  <conditionalFormatting sqref="S56:S57">
    <cfRule type="containsText" dxfId="5" priority="147" stopIfTrue="1" operator="between" text="Paying">
      <formula>NOT(ISERROR(SEARCH("Paying",S56)))</formula>
    </cfRule>
    <cfRule type="cellIs" dxfId="4" priority="148" stopIfTrue="1" operator="equal">
      <formula>"Receiving"</formula>
    </cfRule>
  </conditionalFormatting>
  <conditionalFormatting sqref="S59:S60">
    <cfRule type="cellIs" dxfId="4" priority="167" stopIfTrue="1" operator="equal">
      <formula>"Receiving"</formula>
    </cfRule>
  </conditionalFormatting>
  <conditionalFormatting sqref="AD12:AD13">
    <cfRule type="containsText" dxfId="6" priority="38" operator="between" text="船东付">
      <formula>NOT(ISERROR(SEARCH("船东付",AD12)))</formula>
    </cfRule>
    <cfRule type="containsText" dxfId="7" priority="39" operator="between" text="船东付">
      <formula>NOT(ISERROR(SEARCH("船东付",AD12)))</formula>
    </cfRule>
    <cfRule type="containsText" dxfId="8" priority="40" operator="between" text="待收">
      <formula>NOT(ISERROR(SEARCH("待收",AD12)))</formula>
    </cfRule>
    <cfRule type="containsText" dxfId="9" priority="41" operator="between" text="已开票">
      <formula>NOT(ISERROR(SEARCH("已开票",AD12)))</formula>
    </cfRule>
    <cfRule type="containsText" dxfId="8" priority="42" operator="between" text="已开票">
      <formula>NOT(ISERROR(SEARCH("已开票",AD12)))</formula>
    </cfRule>
    <cfRule type="containsText" dxfId="10" priority="43" operator="between" text="已收">
      <formula>NOT(ISERROR(SEARCH("已收",AD12)))</formula>
    </cfRule>
  </conditionalFormatting>
  <conditionalFormatting sqref="S1:S2 S66:S65575">
    <cfRule type="containsText" dxfId="14" priority="3008" stopIfTrue="1" operator="between" text="Accrual">
      <formula>NOT(ISERROR(SEARCH("Accrual",S1)))</formula>
    </cfRule>
  </conditionalFormatting>
  <dataValidations count="7">
    <dataValidation type="list" allowBlank="1" showInputMessage="1" showErrorMessage="1" sqref="S7 S26 S59 S12:S16">
      <formula1>$V$1:$AA$1</formula1>
    </dataValidation>
    <dataValidation type="list" allowBlank="1" showInputMessage="1" showErrorMessage="1" sqref="S10 S58">
      <formula1>$C$2:$H$2</formula1>
    </dataValidation>
    <dataValidation type="list" allowBlank="1" showInputMessage="1" showErrorMessage="1" sqref="S11 S25 S28 S5:S6 S8:S9 S21:S22 S49:S52">
      <formula1>$X$1:$AC$1</formula1>
    </dataValidation>
    <dataValidation type="list" allowBlank="1" showInputMessage="1" showErrorMessage="1" sqref="AD13">
      <formula1>"已收,已开票,待收,船东付"</formula1>
    </dataValidation>
    <dataValidation type="list" allowBlank="1" showInputMessage="1" showErrorMessage="1" sqref="AD16">
      <formula1>$AC$1:$AF$1</formula1>
    </dataValidation>
    <dataValidation type="list" allowBlank="1" showInputMessage="1" showErrorMessage="1" sqref="S27 S56 S60 S17:S20 S29:S48 S53:S54">
      <formula1>$W$1:$AB$1</formula1>
    </dataValidation>
    <dataValidation type="list" allowBlank="1" showInputMessage="1" showErrorMessage="1" sqref="S55 S57 S23:S24">
      <formula1>$W$1:$AA$1</formula1>
    </dataValidation>
  </dataValidations>
  <hyperlinks>
    <hyperlink ref="V20" r:id="rId1" display="PIONEER LADY 8月船员工资(2).pdf"/>
    <hyperlink ref="V54" r:id="rId2" display="董事长基金--2026.08.31.pdf"/>
    <hyperlink ref="V55" r:id="rId3" display="8月份船员伙食费用支出(1).pdf"/>
    <hyperlink ref="V57" r:id="rId4" display="董事长基金--2026.08.14.pdf"/>
    <hyperlink ref="V58" r:id="rId5" display="20260827_代理费2000付款凭证.pdf"/>
    <hyperlink ref="V59" r:id="rId6" display="7月份原船管伙食欠款1544美元收据(2).pdf"/>
    <hyperlink ref="V60" r:id="rId7" display="CTM 50000USD RECEIPT(2).pdf"/>
    <hyperlink ref="V61" r:id="rId8" display="备用金收据14815USD.pdf"/>
    <hyperlink ref="U20" r:id="rId9" display="Payment_Certificate_20260911154058.pdf"/>
    <hyperlink ref="U60" r:id="rId10" display="20260908__备用金_5WUSD付款凭证银行.pdf"/>
    <hyperlink ref="U58" r:id="rId11" display="Payment_Certificate_20260920112405.pdf"/>
    <hyperlink ref="U25" r:id="rId12" display="Payment_Certificate_20260920113437.pdf"/>
    <hyperlink ref="U57" r:id="rId13" display="20260831-周总提现45000USD.pdf"/>
    <hyperlink ref="U23" r:id="rId14" display="20260831周总提现5000USD(1).pdf"/>
    <hyperlink ref="V49" r:id="rId15" display="EPILP26022 发票.pdf"/>
    <hyperlink ref="V50" r:id="rId16" display="EPILP26004 发票.pdf"/>
    <hyperlink ref="V51" r:id="rId17" display="EPILP26003 发票.pdf"/>
    <hyperlink ref="F33" r:id="rId18" display="DPILT26004订单确认报告_20260923115934.pdf"/>
    <hyperlink ref="F38" r:id="rId19" display="DPILT26005订单确认报告_20260923120026.pdf"/>
    <hyperlink ref="F34" r:id="rId20" display="DPILT26002订单确认报告_20260923115648.pdf"/>
    <hyperlink ref="F35" r:id="rId21" display="DPILT26002订单确认报告_20260923115648(1).pdf"/>
    <hyperlink ref="F36" r:id="rId22" display="DPILT26003订单确认报告_20260923115825.pdf"/>
    <hyperlink ref="F37" r:id="rId23" display="DPILT26004订单确认报告_20260923115934(1).pdf"/>
    <hyperlink ref="F48" r:id="rId24" display="EPILT26001-PIONEER LADY 订单确认报告_20260923163929.pdf"/>
    <hyperlink ref="F39" r:id="rId25" display="EPILP26001-PIONEER LADY 订单确认报告_20260923132752.pdf"/>
    <hyperlink ref="F51" r:id="rId26" display="EPILP26003-PIONEER LADY 订单确认报告_20260923134003.pdf"/>
    <hyperlink ref="F52" r:id="rId27" display="EPILP26002-PIONEER LADY 订单确认报告_20260923133222.pdf"/>
    <hyperlink ref="F50" r:id="rId28" display="EPILP26004-PIONEER LADY 订单确认报告_20260923134154.pdf"/>
    <hyperlink ref="F40" r:id="rId29" display="EPILP26005-PIONEER LADY  订单确认报告_20260923134923.pdf"/>
    <hyperlink ref="F47" r:id="rId30" display="EPILP26006-PIONEER LADY 订单确认报告_20260923135001.pdf"/>
    <hyperlink ref="F44" r:id="rId31" display="EPILP26010-PIONEER LADY 订单确认报告_20260923135509.pdf"/>
    <hyperlink ref="F32" r:id="rId32" display="EPILP26011-PIONEER LADY 订单确认报告_20260923135659.pdf"/>
    <hyperlink ref="F49" r:id="rId33" display="EPILP26022-PIONEER LADY 订单确认报告_20260923155023.pdf"/>
    <hyperlink ref="F42" r:id="rId34" display="EPILP26021-PIONEER LADY 订单确认报告_20260923153850.pdf"/>
    <hyperlink ref="F41" r:id="rId35" display="EPILP26020-PIONEER LADY 订单确认报告_20260923152935.pdf"/>
    <hyperlink ref="F31" r:id="rId36" display="EPILP26013-PIONEER LADY 订单确认报告_20260923141439.pdf"/>
    <hyperlink ref="F43" r:id="rId37" display="EPILP26023-PIONEER LADY 订单确认报告_20260923155339.pdf"/>
    <hyperlink ref="F53" r:id="rId38" display="消防年检确认报告_20260923172254.pdf"/>
    <hyperlink ref="V30" r:id="rId39" display="Pioneer Lady-销售INV(1).pdf"/>
    <hyperlink ref="U30" r:id="rId40" display="Entrusted_Payment_Certificate_S05202609240320523257112_20260924112224.pdf"/>
    <hyperlink ref="V10" r:id="rId41" display="SC0026080016-PIONEER LADY-Maritime Solutions Technology Service (HK) Limited-20260831.pdf"/>
    <hyperlink ref="V22" r:id="rId42" display="Invoice_PIONEER LADY_C Monthly_2026_08_21363280_Stratos.pdf"/>
    <hyperlink ref="V21" r:id="rId43" display="Invoice_PIONEER LADY_C_2026_08_21358741_Stratos.pdf"/>
    <hyperlink ref="V14" r:id="rId44" display="青岛代理收SPRO 费用300美元.pdf"/>
    <hyperlink ref="V15" r:id="rId45" display="青岛购买Bonded Store香烟1010美元.pdf"/>
    <hyperlink ref="V26" r:id="rId46" display="机务访船代理费120美元.pdf"/>
    <hyperlink ref="F29" r:id="rId47" display="DPILT26009-PIONEER LADY 订单确认报告_20260929101940(1).pdf"/>
    <hyperlink ref="V7" r:id="rId48" display="2026年9月份伙食费收据5592美元.pdf"/>
    <hyperlink ref="V12" r:id="rId49" display="678月自修奖金支出3000美元.pdf"/>
    <hyperlink ref="V13" r:id="rId50" display="柯凯敏青岛就医及路费支出149美元.pdf"/>
    <hyperlink ref="V16" r:id="rId51" display="日照购买Bonded Store酒水等支出293美元(1).pdf"/>
    <hyperlink ref="F45" r:id="rId52" display="EPILP26008-PIONEER LADY 订单确认报告_20260923135329.pdf"/>
    <hyperlink ref="V33" r:id="rId53" display="DPILT26001__INVOICE.pdf"/>
    <hyperlink ref="U11" r:id="rId54" display="20260930周总提现30000USD.pdf"/>
    <hyperlink ref="V52" r:id="rId55" display="EPILP26002 发票.pdf"/>
    <hyperlink ref="U6" r:id="rId56" display="Payment_Certificate_20260930094805(1).pdf"/>
    <hyperlink ref="V48" r:id="rId57" display="EPILT26001__INVOICE.pdf"/>
    <hyperlink ref="V47" r:id="rId58" display="EPILP26006__INVOICE.pdf"/>
    <hyperlink ref="V46" r:id="rId59" display="EPILP26007__INVOICE.pdf"/>
    <hyperlink ref="F46" r:id="rId60" display="EPILP26007-PIONEER LADY 订单确认报告_20260930113513.pdf"/>
    <hyperlink ref="V45" r:id="rId61" display="EPILP26008__INVOICE.pdf"/>
    <hyperlink ref="V44" r:id="rId62" display="EPILP26010__INVOICE(1).pdf"/>
    <hyperlink ref="V43" r:id="rId63" display="EPILP26023__INVOICE.pdf"/>
    <hyperlink ref="V42" r:id="rId64" display="EPILP26021__INVOICE.pdf"/>
    <hyperlink ref="V41" r:id="rId65" display="EPILP26020__INVOICE.pdf"/>
    <hyperlink ref="V40" r:id="rId66" display="EPILP26005__INVOICE.pdf"/>
    <hyperlink ref="V39" r:id="rId67" display="EPILP26001__INVOICE.pdf"/>
    <hyperlink ref="V38" r:id="rId68" display="DPILT26005__INVOICE.pdf"/>
    <hyperlink ref="V37" r:id="rId69" display="DPILT26004__INVOICE.pdf"/>
    <hyperlink ref="V36" r:id="rId70" display="DPILT26003__INVOICE.pdf"/>
    <hyperlink ref="V29" r:id="rId71" display="EPILP26012__INVOICE.pdf"/>
    <hyperlink ref="V35" r:id="rId72" display="DPILT26002-1__INVOICE(1).pdf"/>
    <hyperlink ref="V34" r:id="rId73" display="DPILT26002-2__INVOICE.pdf"/>
    <hyperlink ref="F28" r:id="rId74" display="EPILT26003-PIONEER LADY 订单确认报告_20260930154202.pdf"/>
    <hyperlink ref="V28" r:id="rId75" display="EPILT26003__INVOICE(1).pdf"/>
    <hyperlink ref="F27" r:id="rId76" display="EPILP26009-PIONEER LADY 订单确认报告_20260923135413.pdf"/>
    <hyperlink ref="F54" r:id="rId2" display="董事长基金--2026.08.31.pdf"/>
    <hyperlink ref="F55" r:id="rId3" display="8月份船员伙食费用支出(1).pdf"/>
    <hyperlink ref="F57" r:id="rId4" display="董事长基金--2026.07.31.pdf"/>
    <hyperlink ref="F59" r:id="rId6" display="7月份原船管伙食欠款1544美元收据(2).pdf"/>
    <hyperlink ref="F58" r:id="rId5" display="20260827_代理费2000付款凭证.pdf"/>
    <hyperlink ref="F60" r:id="rId7" display="CTM 50000USD RECEIPT(2).pdf"/>
    <hyperlink ref="F61" r:id="rId8" display="备用金收据14815USD.pdf"/>
    <hyperlink ref="F26" r:id="rId46" display="机务访船代理费120美元.pdf"/>
    <hyperlink ref="F30" r:id="rId77" display="DPILT26006-PIONEER LADY 订单确认报告_20261001112318.pdf"/>
    <hyperlink ref="V25" r:id="rId78" display="Invoice--单船开形式发票-段正权股份(1).pdf"/>
    <hyperlink ref="U56" r:id="rId79" display="银行扣款手续费USD50.pdf"/>
    <hyperlink ref="V23" r:id="rId80" display="提现后差额费用--2026.08.31(2).pdf"/>
    <hyperlink ref="V18" r:id="rId81" display="办公室费用-深圳博远20260922--$298.31(2).pdf"/>
    <hyperlink ref="V24" r:id="rId82" display="办公费用69527.18RMB—10292.19USD(2).pdf"/>
    <hyperlink ref="V19" r:id="rId83" display="Pioneer Lady蓝桥港值班津贴_20260909(1).pdf"/>
    <hyperlink ref="V11" r:id="rId84" display="Invoice--单船开形式发票-Pioneer Lady办公室租金+员工薪资.pdf"/>
    <hyperlink ref="V5" r:id="rId85" display="PIONEER LADY 9月账单(1).pdf"/>
  </hyperlink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F20"/>
  <sheetViews>
    <sheetView zoomScale="85" zoomScaleNormal="85" workbookViewId="0">
      <selection activeCell="B9" sqref="B9"/>
    </sheetView>
  </sheetViews>
  <sheetFormatPr defaultColWidth="8.72727272727273" defaultRowHeight="12.5"/>
  <cols>
    <col min="1" max="1" width="9.27272727272727" customWidth="1"/>
    <col min="2" max="2" width="37.2727272727273" customWidth="1"/>
    <col min="3" max="3" width="11.9090909090909" customWidth="1"/>
    <col min="4" max="4" width="51.1818181818182" customWidth="1"/>
    <col min="5" max="5" width="18.5454545454545" customWidth="1"/>
    <col min="6" max="6" width="52.2727272727273" style="466" customWidth="1"/>
    <col min="7" max="7" width="10.9090909090909" style="466" customWidth="1"/>
    <col min="8" max="8" width="10.3636363636364" customWidth="1"/>
    <col min="9" max="9" width="17.0909090909091" customWidth="1"/>
    <col min="10" max="10" width="13.1818181818182" customWidth="1"/>
    <col min="11" max="11" width="10" style="613" customWidth="1"/>
    <col min="12" max="12" width="18.1818181818182" customWidth="1"/>
    <col min="13" max="13" width="20.1818181818182" customWidth="1"/>
    <col min="14" max="14" width="11.5454545454545" customWidth="1"/>
    <col min="15" max="15" width="10" customWidth="1"/>
    <col min="16" max="16" width="8.36363636363636" customWidth="1"/>
    <col min="17" max="17" width="11.8181818181818" customWidth="1"/>
    <col min="18" max="18" width="10" customWidth="1"/>
    <col min="19" max="19" width="14.5454545454545" customWidth="1"/>
    <col min="20" max="20" width="11.9090909090909" customWidth="1"/>
    <col min="21" max="21" width="39.5454545454545" style="117" customWidth="1"/>
    <col min="22" max="22" width="58.2727272727273" style="117" customWidth="1"/>
    <col min="23" max="23" width="10.6363636363636" customWidth="1"/>
    <col min="24" max="24" width="9.45454545454546" customWidth="1"/>
    <col min="25" max="25" width="10.5454545454545" customWidth="1"/>
    <col min="26" max="26" width="9.36363636363636" customWidth="1"/>
    <col min="27" max="27" width="11.3636363636364" customWidth="1"/>
    <col min="28" max="28" width="10.6363636363636" customWidth="1"/>
    <col min="29" max="29" width="10.9090909090909" customWidth="1"/>
    <col min="30" max="30" width="7" customWidth="1"/>
    <col min="31" max="31" width="11.3636363636364" customWidth="1"/>
    <col min="32" max="32" width="7" customWidth="1"/>
  </cols>
  <sheetData>
    <row r="1" ht="13.75" customHeight="1" spans="1:32">
      <c r="A1" s="239" t="s">
        <v>144</v>
      </c>
      <c r="B1" s="137" t="s">
        <v>145</v>
      </c>
      <c r="C1" s="137" t="s">
        <v>146</v>
      </c>
      <c r="D1" s="240" t="s">
        <v>147</v>
      </c>
      <c r="E1" s="241" t="s">
        <v>148</v>
      </c>
      <c r="F1" s="618" t="s">
        <v>188</v>
      </c>
      <c r="G1" s="618" t="s">
        <v>149</v>
      </c>
      <c r="H1" s="241" t="s">
        <v>150</v>
      </c>
      <c r="I1" s="241" t="s">
        <v>189</v>
      </c>
      <c r="J1" s="241" t="s">
        <v>190</v>
      </c>
      <c r="K1" s="476" t="s">
        <v>191</v>
      </c>
      <c r="L1" s="240" t="s">
        <v>192</v>
      </c>
      <c r="M1" s="239" t="s">
        <v>193</v>
      </c>
      <c r="N1" s="242" t="s">
        <v>194</v>
      </c>
      <c r="O1" s="242" t="s">
        <v>195</v>
      </c>
      <c r="P1" s="242" t="s">
        <v>196</v>
      </c>
      <c r="Q1" s="137" t="s">
        <v>197</v>
      </c>
      <c r="R1" s="240" t="s">
        <v>198</v>
      </c>
      <c r="S1" s="240" t="s">
        <v>199</v>
      </c>
      <c r="T1" s="243" t="s">
        <v>156</v>
      </c>
      <c r="U1" s="479" t="s">
        <v>200</v>
      </c>
      <c r="V1" s="480" t="s">
        <v>201</v>
      </c>
      <c r="W1" s="326" t="s">
        <v>82</v>
      </c>
      <c r="X1" s="247" t="s">
        <v>83</v>
      </c>
      <c r="Y1" s="246" t="s">
        <v>84</v>
      </c>
      <c r="Z1" s="246" t="s">
        <v>85</v>
      </c>
      <c r="AA1" s="246" t="s">
        <v>86</v>
      </c>
      <c r="AB1" s="246" t="s">
        <v>87</v>
      </c>
      <c r="AC1" s="249" t="s">
        <v>564</v>
      </c>
      <c r="AD1" s="249" t="s">
        <v>565</v>
      </c>
      <c r="AE1" s="249" t="s">
        <v>566</v>
      </c>
      <c r="AF1" s="619" t="s">
        <v>567</v>
      </c>
    </row>
    <row r="2" ht="13.75" customHeight="1" spans="1:32">
      <c r="A2" s="620"/>
      <c r="B2" s="621"/>
      <c r="C2" s="622" t="s">
        <v>83</v>
      </c>
      <c r="D2" s="623" t="s">
        <v>84</v>
      </c>
      <c r="E2" s="623" t="s">
        <v>85</v>
      </c>
      <c r="F2" s="624"/>
      <c r="G2" s="624" t="s">
        <v>86</v>
      </c>
      <c r="H2" s="623" t="s">
        <v>87</v>
      </c>
      <c r="I2" s="625">
        <f>SUM(I3:I116)</f>
        <v>37968.27</v>
      </c>
      <c r="J2" s="621"/>
      <c r="K2" s="626"/>
      <c r="L2" s="627">
        <f>SUM(L3:L116)</f>
        <v>37968.27</v>
      </c>
      <c r="M2" s="627">
        <f>SUM(M3:M116)</f>
        <v>37968.27</v>
      </c>
      <c r="N2" s="625">
        <f>SUM(N3:N117)</f>
        <v>0</v>
      </c>
      <c r="O2" s="625">
        <f>SUM(O3:O117)</f>
        <v>0</v>
      </c>
      <c r="P2" s="625">
        <f>SUM(P3:P117)</f>
        <v>0</v>
      </c>
      <c r="Q2" s="628"/>
      <c r="R2" s="628"/>
      <c r="S2" s="628"/>
      <c r="T2" s="629">
        <f>SUM(T3:T116)</f>
        <v>20</v>
      </c>
      <c r="U2" s="491"/>
      <c r="V2" s="492" t="s">
        <v>202</v>
      </c>
      <c r="W2" s="630">
        <f t="shared" ref="W2:AB2" si="0">SUM(W3:W116)</f>
        <v>0</v>
      </c>
      <c r="X2" s="630">
        <f t="shared" si="0"/>
        <v>0</v>
      </c>
      <c r="Y2" s="630">
        <f t="shared" si="0"/>
        <v>17088.23</v>
      </c>
      <c r="Z2" s="630">
        <f t="shared" si="0"/>
        <v>0</v>
      </c>
      <c r="AA2" s="630">
        <f t="shared" si="0"/>
        <v>0</v>
      </c>
      <c r="AB2" s="631">
        <f t="shared" si="0"/>
        <v>19680.04</v>
      </c>
      <c r="AC2" s="632">
        <f>SUM(W2:AB2)+T2</f>
        <v>36788.27</v>
      </c>
      <c r="AD2" s="633" t="s">
        <v>140</v>
      </c>
    </row>
    <row r="3" s="119" customFormat="1" ht="13" customHeight="1" spans="1:32">
      <c r="A3" s="634"/>
      <c r="B3" s="635"/>
      <c r="C3" s="635"/>
      <c r="D3" s="635"/>
      <c r="E3" s="635"/>
      <c r="F3" s="636"/>
      <c r="G3" s="636"/>
      <c r="H3" s="635"/>
      <c r="I3" s="635"/>
      <c r="J3" s="635"/>
      <c r="K3" s="637"/>
      <c r="L3" s="635"/>
      <c r="M3" s="635"/>
      <c r="N3" s="635"/>
      <c r="O3" s="635"/>
      <c r="P3" s="635"/>
      <c r="Q3" s="635"/>
      <c r="R3" s="635"/>
      <c r="S3" s="638"/>
      <c r="T3" s="639"/>
      <c r="U3" s="640"/>
      <c r="V3" s="641"/>
      <c r="W3" s="642" t="str">
        <f>IF(S3="Accrual",M3,"")</f>
        <v/>
      </c>
      <c r="X3" s="636" t="str">
        <f>IF(S3="Receiving",M3,"")</f>
        <v/>
      </c>
      <c r="Y3" s="643" t="str">
        <f>IF(S3="Received",M3,"")</f>
        <v/>
      </c>
      <c r="Z3" s="636" t="str">
        <f>IF(S3="Approved",M3,"")</f>
        <v/>
      </c>
      <c r="AA3" s="636" t="str">
        <f>IF(S3="Paying",M3,"")</f>
        <v/>
      </c>
      <c r="AB3" s="644" t="str">
        <f>IF(S3="Completed",M3,"")</f>
        <v/>
      </c>
      <c r="AC3" s="514"/>
      <c r="AD3" s="212"/>
    </row>
    <row r="4" ht="11" customHeight="1" spans="1:32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71"/>
      <c r="U4" s="645"/>
      <c r="V4" s="645"/>
      <c r="W4" s="272"/>
      <c r="X4" s="212"/>
      <c r="Y4" s="212"/>
      <c r="Z4" s="212"/>
      <c r="AA4" s="212"/>
      <c r="AB4" s="290"/>
      <c r="AC4" s="514"/>
      <c r="AD4" s="212"/>
      <c r="AE4" s="119"/>
    </row>
    <row r="5" ht="13" spans="1:32">
      <c r="A5" s="515">
        <v>46295</v>
      </c>
      <c r="B5" s="160" t="s">
        <v>209</v>
      </c>
      <c r="C5" s="287"/>
      <c r="D5" s="187" t="s">
        <v>79</v>
      </c>
      <c r="E5" s="516"/>
      <c r="F5" s="212"/>
      <c r="G5" s="161">
        <v>249</v>
      </c>
      <c r="H5" s="517">
        <v>1</v>
      </c>
      <c r="I5" s="273">
        <f>G5*H5</f>
        <v>249</v>
      </c>
      <c r="J5" s="192">
        <v>6000002</v>
      </c>
      <c r="K5" s="518">
        <f>A5</f>
        <v>46295</v>
      </c>
      <c r="L5" s="273">
        <f>I5</f>
        <v>249</v>
      </c>
      <c r="M5" s="273">
        <f t="shared" ref="M5:M15" si="1">L5</f>
        <v>249</v>
      </c>
      <c r="N5" s="212"/>
      <c r="O5" s="212"/>
      <c r="P5" s="212"/>
      <c r="Q5" s="518"/>
      <c r="R5" s="518"/>
      <c r="S5" s="192" t="s">
        <v>87</v>
      </c>
      <c r="T5" s="519"/>
      <c r="U5" s="645"/>
      <c r="V5" s="546" t="s">
        <v>397</v>
      </c>
      <c r="W5" s="646" t="str">
        <f t="shared" ref="W5:W12" si="2">IF(S5="Accrual",M5,"")</f>
        <v/>
      </c>
      <c r="X5" s="552" t="str">
        <f t="shared" ref="X5:X15" si="3">IF(S5="Receiving",M5,"")</f>
        <v/>
      </c>
      <c r="Y5" s="523" t="str">
        <f t="shared" ref="Y5:Y15" si="4">IF(S5="Received",M5,"")</f>
        <v/>
      </c>
      <c r="Z5" s="553" t="str">
        <f>IF(S5="Approved",M5,"")</f>
        <v/>
      </c>
      <c r="AA5" s="553" t="str">
        <f>IF(S5="Paying",M5,"")</f>
        <v/>
      </c>
      <c r="AB5" s="524">
        <f t="shared" ref="AB5:AB15" si="5">IF(S5="Completed",M5,"")</f>
        <v>249</v>
      </c>
      <c r="AC5" s="514">
        <f t="shared" ref="AC5:AC15" si="6">IF(OR(AD5="船东付",AD5="待收"),0,M5)</f>
        <v>0</v>
      </c>
      <c r="AD5" s="212" t="s">
        <v>566</v>
      </c>
      <c r="AE5" s="119"/>
    </row>
    <row r="6" s="119" customFormat="1" ht="14" customHeight="1" spans="1:32">
      <c r="A6" s="515">
        <v>46293</v>
      </c>
      <c r="B6" s="212" t="s">
        <v>568</v>
      </c>
      <c r="C6" s="188"/>
      <c r="D6" s="212" t="s">
        <v>212</v>
      </c>
      <c r="E6" s="188"/>
      <c r="F6" s="207"/>
      <c r="G6" s="207">
        <v>1660</v>
      </c>
      <c r="H6" s="517">
        <v>1</v>
      </c>
      <c r="I6" s="273">
        <f>G6*H6</f>
        <v>1660</v>
      </c>
      <c r="J6" s="192">
        <v>4000014</v>
      </c>
      <c r="K6" s="518"/>
      <c r="L6" s="273">
        <f>I6</f>
        <v>1660</v>
      </c>
      <c r="M6" s="273">
        <f t="shared" si="1"/>
        <v>1660</v>
      </c>
      <c r="N6" s="212"/>
      <c r="O6" s="212"/>
      <c r="P6" s="212"/>
      <c r="Q6" s="518"/>
      <c r="R6" s="518"/>
      <c r="S6" s="188" t="s">
        <v>87</v>
      </c>
      <c r="T6" s="647">
        <v>20</v>
      </c>
      <c r="U6" s="558" t="s">
        <v>569</v>
      </c>
      <c r="V6" s="546" t="s">
        <v>570</v>
      </c>
      <c r="W6" s="648" t="str">
        <f t="shared" si="2"/>
        <v/>
      </c>
      <c r="X6" s="523" t="str">
        <f t="shared" si="3"/>
        <v/>
      </c>
      <c r="Y6" s="523" t="str">
        <f t="shared" si="4"/>
        <v/>
      </c>
      <c r="Z6" s="553"/>
      <c r="AA6" s="553"/>
      <c r="AB6" s="649">
        <f t="shared" si="5"/>
        <v>1660</v>
      </c>
      <c r="AC6" s="514">
        <f t="shared" si="6"/>
        <v>0</v>
      </c>
      <c r="AD6" s="212" t="s">
        <v>566</v>
      </c>
    </row>
    <row r="7" ht="13" spans="1:32">
      <c r="A7" s="515">
        <v>46285</v>
      </c>
      <c r="B7" s="212" t="s">
        <v>224</v>
      </c>
      <c r="C7" s="650" t="s">
        <v>225</v>
      </c>
      <c r="D7" s="212" t="s">
        <v>226</v>
      </c>
      <c r="E7" s="188" t="s">
        <v>227</v>
      </c>
      <c r="F7" s="291" t="s">
        <v>571</v>
      </c>
      <c r="G7" s="207">
        <v>4113.43</v>
      </c>
      <c r="H7" s="517">
        <v>1</v>
      </c>
      <c r="I7" s="273">
        <v>4113.43</v>
      </c>
      <c r="J7" s="188">
        <v>2000005</v>
      </c>
      <c r="K7" s="518">
        <v>46283</v>
      </c>
      <c r="L7" s="273">
        <v>4113.43</v>
      </c>
      <c r="M7" s="273">
        <v>4113.43</v>
      </c>
      <c r="N7" s="212"/>
      <c r="O7" s="212"/>
      <c r="P7" s="212"/>
      <c r="Q7" s="518">
        <v>46283</v>
      </c>
      <c r="R7" s="518">
        <v>46313</v>
      </c>
      <c r="S7" s="188" t="s">
        <v>84</v>
      </c>
      <c r="T7" s="519"/>
      <c r="U7" s="645"/>
      <c r="V7" s="651" t="s">
        <v>572</v>
      </c>
      <c r="W7" s="646" t="str">
        <f t="shared" si="2"/>
        <v/>
      </c>
      <c r="X7" s="552" t="str">
        <f t="shared" si="3"/>
        <v/>
      </c>
      <c r="Y7" s="523">
        <f t="shared" si="4"/>
        <v>4113.43</v>
      </c>
      <c r="Z7" s="553" t="str">
        <f>IF(S7="Approved",M7,"")</f>
        <v/>
      </c>
      <c r="AA7" s="553" t="str">
        <f>IF(S7="Paying",M7,"")</f>
        <v/>
      </c>
      <c r="AB7" s="524" t="str">
        <f t="shared" si="5"/>
        <v/>
      </c>
      <c r="AC7" s="514">
        <f t="shared" si="6"/>
        <v>0</v>
      </c>
      <c r="AD7" s="212" t="s">
        <v>566</v>
      </c>
      <c r="AE7" s="119"/>
    </row>
    <row r="8" s="119" customFormat="1" ht="14" customHeight="1" spans="1:32">
      <c r="A8" s="543">
        <v>46272</v>
      </c>
      <c r="B8" s="652" t="s">
        <v>240</v>
      </c>
      <c r="C8" s="650" t="s">
        <v>241</v>
      </c>
      <c r="D8" s="212" t="s">
        <v>226</v>
      </c>
      <c r="E8" s="188" t="s">
        <v>242</v>
      </c>
      <c r="F8" s="291" t="s">
        <v>573</v>
      </c>
      <c r="G8" s="207">
        <v>12974.8</v>
      </c>
      <c r="H8" s="517">
        <v>1</v>
      </c>
      <c r="I8" s="273">
        <f t="shared" ref="I8:I15" si="7">G8*H8</f>
        <v>12974.8</v>
      </c>
      <c r="J8" s="192">
        <v>2000004</v>
      </c>
      <c r="K8" s="518">
        <v>46283</v>
      </c>
      <c r="L8" s="273">
        <f t="shared" ref="L8:L15" si="8">I8</f>
        <v>12974.8</v>
      </c>
      <c r="M8" s="273">
        <v>12974.8</v>
      </c>
      <c r="N8" s="212"/>
      <c r="O8" s="212"/>
      <c r="P8" s="212"/>
      <c r="Q8" s="518">
        <v>46283</v>
      </c>
      <c r="R8" s="518">
        <v>46313</v>
      </c>
      <c r="S8" s="188" t="s">
        <v>84</v>
      </c>
      <c r="T8" s="545"/>
      <c r="U8" s="645"/>
      <c r="V8" s="653" t="s">
        <v>574</v>
      </c>
      <c r="W8" s="646" t="str">
        <f t="shared" si="2"/>
        <v/>
      </c>
      <c r="X8" s="523" t="str">
        <f t="shared" si="3"/>
        <v/>
      </c>
      <c r="Y8" s="523">
        <f t="shared" si="4"/>
        <v>12974.8</v>
      </c>
      <c r="Z8" s="553"/>
      <c r="AA8" s="553"/>
      <c r="AB8" s="649" t="str">
        <f t="shared" si="5"/>
        <v/>
      </c>
      <c r="AC8" s="514">
        <f t="shared" si="6"/>
        <v>0</v>
      </c>
      <c r="AD8" s="212" t="s">
        <v>566</v>
      </c>
    </row>
    <row r="9" s="119" customFormat="1" ht="13" customHeight="1" spans="1:32">
      <c r="A9" s="543">
        <v>46272</v>
      </c>
      <c r="B9" s="212" t="s">
        <v>243</v>
      </c>
      <c r="C9" s="188"/>
      <c r="D9" s="212" t="s">
        <v>244</v>
      </c>
      <c r="E9" s="188" t="s">
        <v>245</v>
      </c>
      <c r="F9" s="207"/>
      <c r="G9" s="207">
        <v>1200</v>
      </c>
      <c r="H9" s="517">
        <v>1</v>
      </c>
      <c r="I9" s="273">
        <f t="shared" si="7"/>
        <v>1200</v>
      </c>
      <c r="J9" s="192">
        <v>4000014</v>
      </c>
      <c r="K9" s="518">
        <v>46266</v>
      </c>
      <c r="L9" s="273">
        <f t="shared" si="8"/>
        <v>1200</v>
      </c>
      <c r="M9" s="273">
        <f t="shared" si="1"/>
        <v>1200</v>
      </c>
      <c r="N9" s="212"/>
      <c r="O9" s="212"/>
      <c r="P9" s="212"/>
      <c r="Q9" s="518"/>
      <c r="R9" s="518"/>
      <c r="S9" s="188"/>
      <c r="T9" s="545"/>
      <c r="U9" s="654"/>
      <c r="V9" s="654" t="s">
        <v>575</v>
      </c>
      <c r="W9" s="646" t="str">
        <f t="shared" si="2"/>
        <v/>
      </c>
      <c r="X9" s="523" t="str">
        <f t="shared" si="3"/>
        <v/>
      </c>
      <c r="Y9" s="553" t="str">
        <f t="shared" si="4"/>
        <v/>
      </c>
      <c r="Z9" s="553"/>
      <c r="AA9" s="553"/>
      <c r="AB9" s="649" t="str">
        <f t="shared" si="5"/>
        <v/>
      </c>
      <c r="AC9" s="514">
        <f t="shared" si="6"/>
        <v>0</v>
      </c>
      <c r="AD9" s="212" t="s">
        <v>567</v>
      </c>
    </row>
    <row r="10" s="119" customFormat="1" ht="13" customHeight="1" spans="1:32">
      <c r="A10" s="543">
        <v>46269</v>
      </c>
      <c r="B10" s="212" t="s">
        <v>247</v>
      </c>
      <c r="C10" s="188"/>
      <c r="D10" s="212" t="s">
        <v>206</v>
      </c>
      <c r="E10" s="188"/>
      <c r="F10" s="207"/>
      <c r="G10" s="207">
        <v>12501.04</v>
      </c>
      <c r="H10" s="517">
        <v>1</v>
      </c>
      <c r="I10" s="273">
        <f t="shared" si="7"/>
        <v>12501.04</v>
      </c>
      <c r="J10" s="192">
        <v>1000090</v>
      </c>
      <c r="K10" s="518"/>
      <c r="L10" s="273">
        <f t="shared" si="8"/>
        <v>12501.04</v>
      </c>
      <c r="M10" s="273">
        <f t="shared" si="1"/>
        <v>12501.04</v>
      </c>
      <c r="N10" s="212"/>
      <c r="O10" s="212"/>
      <c r="P10" s="212"/>
      <c r="Q10" s="518"/>
      <c r="R10" s="518"/>
      <c r="S10" s="188" t="s">
        <v>87</v>
      </c>
      <c r="T10" s="545"/>
      <c r="U10" s="654" t="s">
        <v>576</v>
      </c>
      <c r="V10" s="655" t="s">
        <v>577</v>
      </c>
      <c r="W10" s="646" t="str">
        <f t="shared" si="2"/>
        <v/>
      </c>
      <c r="X10" s="523" t="str">
        <f t="shared" si="3"/>
        <v/>
      </c>
      <c r="Y10" s="523" t="str">
        <f t="shared" si="4"/>
        <v/>
      </c>
      <c r="Z10" s="553"/>
      <c r="AA10" s="553"/>
      <c r="AB10" s="649">
        <f t="shared" si="5"/>
        <v>12501.04</v>
      </c>
      <c r="AC10" s="514">
        <f t="shared" si="6"/>
        <v>12501.04</v>
      </c>
      <c r="AD10" s="212" t="s">
        <v>564</v>
      </c>
    </row>
    <row r="11" ht="13" spans="1:32">
      <c r="A11" s="515">
        <v>46266</v>
      </c>
      <c r="B11" s="160" t="s">
        <v>256</v>
      </c>
      <c r="C11" s="287"/>
      <c r="D11" s="187" t="s">
        <v>79</v>
      </c>
      <c r="E11" s="516"/>
      <c r="F11" s="212"/>
      <c r="G11" s="161">
        <v>1400</v>
      </c>
      <c r="H11" s="517">
        <v>1</v>
      </c>
      <c r="I11" s="273">
        <f t="shared" si="7"/>
        <v>1400</v>
      </c>
      <c r="J11" s="118">
        <v>6000001</v>
      </c>
      <c r="K11" s="518">
        <f>A11</f>
        <v>46266</v>
      </c>
      <c r="L11" s="273">
        <f t="shared" si="8"/>
        <v>1400</v>
      </c>
      <c r="M11" s="273">
        <f t="shared" si="1"/>
        <v>1400</v>
      </c>
      <c r="N11" s="212"/>
      <c r="O11" s="212"/>
      <c r="P11" s="212"/>
      <c r="Q11" s="518"/>
      <c r="R11" s="518"/>
      <c r="S11" s="192" t="s">
        <v>87</v>
      </c>
      <c r="T11" s="519"/>
      <c r="U11" s="645"/>
      <c r="V11" s="546" t="s">
        <v>578</v>
      </c>
      <c r="W11" s="646" t="str">
        <f t="shared" si="2"/>
        <v/>
      </c>
      <c r="X11" s="552" t="str">
        <f t="shared" si="3"/>
        <v/>
      </c>
      <c r="Y11" s="523" t="str">
        <f t="shared" si="4"/>
        <v/>
      </c>
      <c r="Z11" s="553" t="str">
        <f>IF(S11="Approved",M11,"")</f>
        <v/>
      </c>
      <c r="AA11" s="553" t="str">
        <f>IF(S11="Paying",M11,"")</f>
        <v/>
      </c>
      <c r="AB11" s="524">
        <f t="shared" si="5"/>
        <v>1400</v>
      </c>
      <c r="AC11" s="514">
        <f t="shared" si="6"/>
        <v>0</v>
      </c>
      <c r="AD11" s="212" t="s">
        <v>566</v>
      </c>
      <c r="AE11" s="614"/>
    </row>
    <row r="12" s="119" customFormat="1" ht="13" customHeight="1" spans="1:32">
      <c r="A12" s="543">
        <v>46265</v>
      </c>
      <c r="B12" s="160" t="s">
        <v>259</v>
      </c>
      <c r="C12" s="287"/>
      <c r="D12" s="187" t="s">
        <v>79</v>
      </c>
      <c r="E12" s="516"/>
      <c r="F12" s="273"/>
      <c r="G12" s="273">
        <v>662</v>
      </c>
      <c r="H12" s="517">
        <v>1</v>
      </c>
      <c r="I12" s="273">
        <f t="shared" si="7"/>
        <v>662</v>
      </c>
      <c r="J12" s="188">
        <v>1000002</v>
      </c>
      <c r="K12" s="518"/>
      <c r="L12" s="273">
        <f t="shared" si="8"/>
        <v>662</v>
      </c>
      <c r="M12" s="273">
        <f t="shared" si="1"/>
        <v>662</v>
      </c>
      <c r="N12" s="349"/>
      <c r="O12" s="349"/>
      <c r="P12" s="349"/>
      <c r="Q12" s="349"/>
      <c r="R12" s="349"/>
      <c r="S12" s="656" t="s">
        <v>87</v>
      </c>
      <c r="T12" s="647"/>
      <c r="U12" s="657"/>
      <c r="V12" s="657" t="s">
        <v>407</v>
      </c>
      <c r="W12" s="658" t="str">
        <f t="shared" si="2"/>
        <v/>
      </c>
      <c r="X12" s="523" t="str">
        <f t="shared" si="3"/>
        <v/>
      </c>
      <c r="Y12" s="523" t="str">
        <f t="shared" si="4"/>
        <v/>
      </c>
      <c r="Z12" s="523" t="str">
        <f>IF(S12="Approved",M12,"")</f>
        <v/>
      </c>
      <c r="AA12" s="523" t="str">
        <f>IF(S12="Paying",M12,"")</f>
        <v/>
      </c>
      <c r="AB12" s="649">
        <f t="shared" si="5"/>
        <v>662</v>
      </c>
      <c r="AC12" s="514">
        <f t="shared" si="6"/>
        <v>662</v>
      </c>
      <c r="AD12" s="212" t="s">
        <v>564</v>
      </c>
    </row>
    <row r="13" s="119" customFormat="1" ht="13" customHeight="1" spans="1:32">
      <c r="A13" s="543">
        <v>46257</v>
      </c>
      <c r="B13" s="160" t="s">
        <v>363</v>
      </c>
      <c r="C13" s="192"/>
      <c r="D13" s="187" t="s">
        <v>79</v>
      </c>
      <c r="E13" s="212"/>
      <c r="F13" s="273"/>
      <c r="G13" s="273">
        <v>733</v>
      </c>
      <c r="H13" s="517">
        <v>1</v>
      </c>
      <c r="I13" s="273">
        <f t="shared" si="7"/>
        <v>733</v>
      </c>
      <c r="J13" s="188">
        <v>1000006</v>
      </c>
      <c r="K13" s="518"/>
      <c r="L13" s="273">
        <f t="shared" si="8"/>
        <v>733</v>
      </c>
      <c r="M13" s="273">
        <f t="shared" si="1"/>
        <v>733</v>
      </c>
      <c r="N13" s="212"/>
      <c r="O13" s="212"/>
      <c r="P13" s="212"/>
      <c r="Q13" s="212"/>
      <c r="R13" s="212"/>
      <c r="S13" s="656" t="s">
        <v>87</v>
      </c>
      <c r="T13" s="271"/>
      <c r="U13" s="654"/>
      <c r="V13" s="654" t="s">
        <v>409</v>
      </c>
      <c r="W13" s="272"/>
      <c r="X13" s="523" t="str">
        <f t="shared" si="3"/>
        <v/>
      </c>
      <c r="Y13" s="659" t="str">
        <f t="shared" si="4"/>
        <v/>
      </c>
      <c r="Z13" s="659" t="str">
        <f>IF(S13="Approved",M13,"")</f>
        <v/>
      </c>
      <c r="AA13" s="659" t="str">
        <f>IF(S13="Paying",M13,"")</f>
        <v/>
      </c>
      <c r="AB13" s="649">
        <f t="shared" si="5"/>
        <v>733</v>
      </c>
      <c r="AC13" s="514">
        <f t="shared" si="6"/>
        <v>733</v>
      </c>
      <c r="AD13" s="212" t="s">
        <v>564</v>
      </c>
      <c r="AE13" s="614"/>
    </row>
    <row r="14" s="119" customFormat="1" ht="13" customHeight="1" spans="1:32">
      <c r="A14" s="543">
        <v>46251</v>
      </c>
      <c r="B14" s="212" t="s">
        <v>367</v>
      </c>
      <c r="C14" s="192"/>
      <c r="D14" s="187" t="s">
        <v>79</v>
      </c>
      <c r="E14" s="212"/>
      <c r="F14" s="273"/>
      <c r="G14" s="273">
        <v>1125</v>
      </c>
      <c r="H14" s="517">
        <v>1</v>
      </c>
      <c r="I14" s="273">
        <f t="shared" si="7"/>
        <v>1125</v>
      </c>
      <c r="J14" s="188">
        <v>9000001</v>
      </c>
      <c r="K14" s="518"/>
      <c r="L14" s="273">
        <f t="shared" si="8"/>
        <v>1125</v>
      </c>
      <c r="M14" s="273">
        <f t="shared" si="1"/>
        <v>1125</v>
      </c>
      <c r="N14" s="212"/>
      <c r="O14" s="212"/>
      <c r="P14" s="212"/>
      <c r="Q14" s="212"/>
      <c r="R14" s="212"/>
      <c r="S14" s="656" t="s">
        <v>87</v>
      </c>
      <c r="T14" s="519"/>
      <c r="U14" s="660"/>
      <c r="V14" s="660" t="s">
        <v>410</v>
      </c>
      <c r="W14" s="658" t="str">
        <f>IF(S14="Accrual",M14,"")</f>
        <v/>
      </c>
      <c r="X14" s="523" t="str">
        <f t="shared" si="3"/>
        <v/>
      </c>
      <c r="Y14" s="523" t="str">
        <f t="shared" si="4"/>
        <v/>
      </c>
      <c r="Z14" s="523" t="str">
        <f>IF(S14="Approved",M14,"")</f>
        <v/>
      </c>
      <c r="AA14" s="523" t="str">
        <f>IF(S14="Paying",M14,"")</f>
        <v/>
      </c>
      <c r="AB14" s="649">
        <f t="shared" si="5"/>
        <v>1125</v>
      </c>
      <c r="AC14" s="514">
        <f t="shared" si="6"/>
        <v>1125</v>
      </c>
      <c r="AD14" s="212" t="s">
        <v>564</v>
      </c>
    </row>
    <row r="15" s="119" customFormat="1" ht="14.75" customHeight="1" spans="1:32">
      <c r="A15" s="596">
        <v>46234</v>
      </c>
      <c r="B15" s="226" t="s">
        <v>171</v>
      </c>
      <c r="C15" s="597"/>
      <c r="D15" s="598" t="s">
        <v>79</v>
      </c>
      <c r="E15" s="599"/>
      <c r="F15" s="661"/>
      <c r="G15" s="661">
        <v>1350</v>
      </c>
      <c r="H15" s="662">
        <v>1</v>
      </c>
      <c r="I15" s="663">
        <f t="shared" si="7"/>
        <v>1350</v>
      </c>
      <c r="J15" s="311">
        <v>6000001</v>
      </c>
      <c r="K15" s="601">
        <v>46234</v>
      </c>
      <c r="L15" s="663">
        <f t="shared" si="8"/>
        <v>1350</v>
      </c>
      <c r="M15" s="663">
        <f t="shared" si="1"/>
        <v>1350</v>
      </c>
      <c r="N15" s="664"/>
      <c r="O15" s="599"/>
      <c r="P15" s="599"/>
      <c r="Q15" s="313"/>
      <c r="R15" s="313"/>
      <c r="S15" s="602" t="s">
        <v>87</v>
      </c>
      <c r="T15" s="665"/>
      <c r="U15" s="666"/>
      <c r="V15" s="666" t="s">
        <v>419</v>
      </c>
      <c r="W15" s="667" t="str">
        <f>IF(S15="Accrual",M15,"")</f>
        <v/>
      </c>
      <c r="X15" s="668" t="str">
        <f t="shared" si="3"/>
        <v/>
      </c>
      <c r="Y15" s="668" t="str">
        <f t="shared" si="4"/>
        <v/>
      </c>
      <c r="Z15" s="668" t="str">
        <f>IF(S15="Approved",M15,"")</f>
        <v/>
      </c>
      <c r="AA15" s="668" t="str">
        <f>IF(S15="Paying",M15,"")</f>
        <v/>
      </c>
      <c r="AB15" s="669">
        <f t="shared" si="5"/>
        <v>1350</v>
      </c>
      <c r="AC15" s="514">
        <f t="shared" si="6"/>
        <v>1350</v>
      </c>
      <c r="AD15" s="212" t="s">
        <v>564</v>
      </c>
    </row>
    <row r="16" s="119" customFormat="1" ht="13" customHeight="1" spans="1:32">
      <c r="F16" s="554"/>
      <c r="G16" s="554"/>
      <c r="K16" s="472"/>
      <c r="U16" s="120"/>
      <c r="V16" s="120"/>
      <c r="X16" s="670" t="str">
        <f>IF(S17="Receiving",M17,"")</f>
        <v/>
      </c>
    </row>
    <row r="17" s="617" customFormat="1" ht="13" customHeight="1" spans="6:31">
      <c r="F17" s="671"/>
      <c r="G17" s="671"/>
      <c r="K17" s="672"/>
      <c r="U17" s="673"/>
      <c r="V17" s="673"/>
      <c r="AE17" s="674"/>
    </row>
    <row r="18" spans="6:31">
      <c r="AB18" s="319"/>
      <c r="AE18" s="319">
        <f>AB11+Y8+Y7+AB6+AB5</f>
        <v>20397.23</v>
      </c>
    </row>
    <row r="19" spans="6:31">
      <c r="AB19" s="319"/>
      <c r="AE19" s="319"/>
    </row>
    <row r="20" spans="6:31">
      <c r="AA20" s="319"/>
      <c r="AB20" s="319"/>
    </row>
  </sheetData>
  <conditionalFormatting sqref="S3">
    <cfRule type="containsText" dxfId="5" priority="52" stopIfTrue="1" operator="between" text="Paying">
      <formula>NOT(ISERROR(SEARCH("Paying",S3)))</formula>
    </cfRule>
    <cfRule type="cellIs" dxfId="4" priority="53" stopIfTrue="1" operator="equal">
      <formula>"Receiving"</formula>
    </cfRule>
  </conditionalFormatting>
  <conditionalFormatting sqref="S5">
    <cfRule type="containsText" dxfId="11" priority="8" stopIfTrue="1" operator="between" text="Paying">
      <formula>NOT(ISERROR(SEARCH("Paying",S5)))</formula>
    </cfRule>
    <cfRule type="containsText" dxfId="12" priority="9" stopIfTrue="1" operator="between" text="Approved">
      <formula>NOT(ISERROR(SEARCH("Approved",S5)))</formula>
    </cfRule>
    <cfRule type="containsText" dxfId="13" priority="10" stopIfTrue="1" operator="between" text="Paying">
      <formula>NOT(ISERROR(SEARCH("Paying",S5)))</formula>
    </cfRule>
    <cfRule type="containsText" dxfId="5" priority="11" stopIfTrue="1" operator="between" text="Uploaded">
      <formula>NOT(ISERROR(SEARCH("Uploaded",S5)))</formula>
    </cfRule>
    <cfRule type="containsText" dxfId="3" priority="12" stopIfTrue="1" operator="between" text="Received">
      <formula>NOT(ISERROR(SEARCH("Received",S5)))</formula>
    </cfRule>
    <cfRule type="containsText" dxfId="2" priority="13" stopIfTrue="1" operator="between" text="Completed">
      <formula>NOT(ISERROR(SEARCH("Completed",S5)))</formula>
    </cfRule>
    <cfRule type="cellIs" dxfId="4" priority="14" stopIfTrue="1" operator="equal">
      <formula>"Receiving"</formula>
    </cfRule>
  </conditionalFormatting>
  <conditionalFormatting sqref="S6:S10">
    <cfRule type="containsText" dxfId="5" priority="21" stopIfTrue="1" operator="between" text="Paying">
      <formula>NOT(ISERROR(SEARCH("Paying",S6)))</formula>
    </cfRule>
    <cfRule type="cellIs" dxfId="4" priority="22" stopIfTrue="1" operator="equal">
      <formula>"Receiving"</formula>
    </cfRule>
  </conditionalFormatting>
  <conditionalFormatting sqref="S11:S15">
    <cfRule type="containsText" dxfId="11" priority="1" stopIfTrue="1" operator="between" text="Paying">
      <formula>NOT(ISERROR(SEARCH("Paying",S11)))</formula>
    </cfRule>
    <cfRule type="containsText" dxfId="12" priority="2" stopIfTrue="1" operator="between" text="Approved">
      <formula>NOT(ISERROR(SEARCH("Approved",S11)))</formula>
    </cfRule>
    <cfRule type="containsText" dxfId="13" priority="3" stopIfTrue="1" operator="between" text="Paying">
      <formula>NOT(ISERROR(SEARCH("Paying",S11)))</formula>
    </cfRule>
    <cfRule type="containsText" dxfId="5" priority="4" stopIfTrue="1" operator="between" text="Uploaded">
      <formula>NOT(ISERROR(SEARCH("Uploaded",S11)))</formula>
    </cfRule>
    <cfRule type="containsText" dxfId="3" priority="5" stopIfTrue="1" operator="between" text="Received">
      <formula>NOT(ISERROR(SEARCH("Received",S11)))</formula>
    </cfRule>
    <cfRule type="containsText" dxfId="2" priority="6" stopIfTrue="1" operator="between" text="Completed">
      <formula>NOT(ISERROR(SEARCH("Completed",S11)))</formula>
    </cfRule>
    <cfRule type="cellIs" dxfId="4" priority="7" stopIfTrue="1" operator="equal">
      <formula>"Receiving"</formula>
    </cfRule>
  </conditionalFormatting>
  <conditionalFormatting sqref="AD3:AD11">
    <cfRule type="containsText" dxfId="6" priority="15" operator="between" text="船东付">
      <formula>NOT(ISERROR(SEARCH("船东付",AD3)))</formula>
    </cfRule>
  </conditionalFormatting>
  <conditionalFormatting sqref="AD3:AD15">
    <cfRule type="containsText" dxfId="7" priority="16" operator="between" text="船东付">
      <formula>NOT(ISERROR(SEARCH("船东付",AD3)))</formula>
    </cfRule>
    <cfRule type="containsText" dxfId="8" priority="17" operator="between" text="待收">
      <formula>NOT(ISERROR(SEARCH("待收",AD3)))</formula>
    </cfRule>
    <cfRule type="containsText" dxfId="9" priority="18" operator="between" text="已开票">
      <formula>NOT(ISERROR(SEARCH("已开票",AD3)))</formula>
    </cfRule>
    <cfRule type="containsText" dxfId="8" priority="19" operator="between" text="已开票">
      <formula>NOT(ISERROR(SEARCH("已开票",AD3)))</formula>
    </cfRule>
    <cfRule type="containsText" dxfId="10" priority="20" operator="between" text="已收">
      <formula>NOT(ISERROR(SEARCH("已收",AD3)))</formula>
    </cfRule>
  </conditionalFormatting>
  <dataValidations count="4">
    <dataValidation type="list" allowBlank="1" showInputMessage="1" showErrorMessage="1" sqref="S3 S8:S10 S12:S15">
      <formula1>$W$1:$AB$1</formula1>
    </dataValidation>
    <dataValidation type="list" allowBlank="1" showInputMessage="1" showErrorMessage="1" sqref="S5 S11">
      <formula1>$V$1:$AA$1</formula1>
    </dataValidation>
    <dataValidation type="list" allowBlank="1" showInputMessage="1" showErrorMessage="1" sqref="S6:S7">
      <formula1>$X$1:$AC$1</formula1>
    </dataValidation>
    <dataValidation type="list" allowBlank="1" showInputMessage="1" showErrorMessage="1" sqref="AD3:AD15">
      <formula1>"已收,已开票,待收,船东付"</formula1>
    </dataValidation>
  </dataValidations>
  <hyperlinks>
    <hyperlink ref="V10" r:id="rId1" display="8 月份船员海外换班费(1)(1).pdf"/>
    <hyperlink ref="V9" r:id="rId2" display="DEBIT NOTE---SY2026080042LND(MV PIONEER LADY USHCT).pdf"/>
    <hyperlink ref="V12" r:id="rId3" display="8月份客餐费用支出.pdf"/>
    <hyperlink ref="V13" r:id="rId4" display="HOMONHON张善钧购药支出.pdf"/>
    <hyperlink ref="V14" r:id="rId5" display="PAYMENT LIST OF V2605 HOLD CLEANING BONUS.pdf"/>
    <hyperlink ref="V15" r:id="rId6" display="Gresik加淡水100吨.pdf"/>
    <hyperlink ref="F8" r:id="rId7" display="Pioneer Lady 船舶申请订单确认报告(DPILT26008)(1).pdf"/>
    <hyperlink ref="F7" r:id="rId8" display="DPILT26009-PIONEER LADY 订单确认报告_20260929101940.pdf"/>
    <hyperlink ref="V6" r:id="rId9" display="PINV PIONEER LADY (INSPECTION ATTEND).pdf"/>
    <hyperlink ref="U6" r:id="rId10" display="Payment_Certificate_20260928170911.pdf"/>
    <hyperlink ref="V5" r:id="rId11" display="9月份客餐费用支出249美元.pdf"/>
    <hyperlink ref="V11" r:id="rId12" display="岚桥加淡水费用1400美元.pdf"/>
    <hyperlink ref="V7" r:id="rId13" display="DPILT26009__INVOICE.pdf"/>
    <hyperlink ref="V8" r:id="rId14" display="DPILT26008__INVOICE.pdf"/>
  </hyperlink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249977111117893"/>
  </sheetPr>
  <dimension ref="A1:DN80"/>
  <sheetViews>
    <sheetView zoomScale="85" zoomScaleNormal="85" workbookViewId="0">
      <pane xSplit="22370" topLeftCell="C1" activePane="topLeft"/>
      <selection activeCell="V22" sqref="V22"/>
      <selection pane="topRight"/>
    </sheetView>
  </sheetViews>
  <sheetFormatPr defaultColWidth="8.72727272727273" defaultRowHeight="13"/>
  <cols>
    <col min="1" max="1" width="9.72727272727273" style="470" customWidth="1"/>
    <col min="2" max="2" width="49.4545454545455" style="119" customWidth="1"/>
    <col min="3" max="3" width="10.5454545454545" style="119" customWidth="1"/>
    <col min="4" max="4" width="45.9090909090909" style="119" customWidth="1"/>
    <col min="5" max="5" width="13.3636363636364" style="118" customWidth="1"/>
    <col min="6" max="6" width="57.9090909090909" style="119" customWidth="1"/>
    <col min="7" max="7" width="11.4545454545455" style="119" customWidth="1"/>
    <col min="8" max="8" width="9.63636363636364" style="119" customWidth="1"/>
    <col min="9" max="9" width="16.9090909090909" style="119" customWidth="1"/>
    <col min="10" max="10" width="13.0909090909091" style="471" customWidth="1"/>
    <col min="11" max="11" width="9.90909090909091" style="472" customWidth="1"/>
    <col min="12" max="12" width="17.6363636363636" style="118" customWidth="1"/>
    <col min="13" max="13" width="20" style="119" customWidth="1"/>
    <col min="14" max="14" width="11.2727272727273" style="119" customWidth="1"/>
    <col min="15" max="15" width="9.63636363636364" style="119" customWidth="1"/>
    <col min="16" max="16" width="8.27272727272727" style="119" customWidth="1"/>
    <col min="17" max="17" width="11.6363636363636" style="473" customWidth="1"/>
    <col min="18" max="18" width="10.2727272727273" style="472" customWidth="1"/>
    <col min="19" max="19" width="14.5454545454545" style="119" customWidth="1"/>
    <col min="20" max="20" width="11.9090909090909" style="119" customWidth="1"/>
    <col min="21" max="21" width="41" style="118" customWidth="1"/>
    <col min="22" max="22" width="62.7272727272727" style="118" customWidth="1"/>
    <col min="23" max="23" width="9.54545454545454" style="119" customWidth="1"/>
    <col min="24" max="24" width="9.18181818181818" style="119" customWidth="1"/>
    <col min="25" max="25" width="9.54545454545454" style="119" customWidth="1"/>
    <col min="26" max="26" width="9.45454545454546" style="119" customWidth="1"/>
    <col min="27" max="27" width="6.81818181818182" style="119" customWidth="1"/>
    <col min="28" max="28" width="10.3636363636364" style="119" customWidth="1"/>
    <col min="29" max="29" width="10.6363636363636" style="119" customWidth="1"/>
    <col min="30" max="30" width="6.72727272727273" style="119" customWidth="1"/>
    <col min="31" max="31" width="10" style="119" customWidth="1"/>
    <col min="32" max="32" width="6.72727272727273" style="119" customWidth="1"/>
    <col min="33" max="16384" width="8.72727272727273" style="119"/>
  </cols>
  <sheetData>
    <row r="1" ht="13.75" customHeight="1" spans="1:118">
      <c r="A1" s="474" t="s">
        <v>144</v>
      </c>
      <c r="B1" s="137" t="s">
        <v>145</v>
      </c>
      <c r="C1" s="137" t="s">
        <v>146</v>
      </c>
      <c r="D1" s="240" t="s">
        <v>147</v>
      </c>
      <c r="E1" s="241" t="s">
        <v>148</v>
      </c>
      <c r="F1" s="241" t="s">
        <v>188</v>
      </c>
      <c r="G1" s="241" t="s">
        <v>149</v>
      </c>
      <c r="H1" s="241" t="s">
        <v>150</v>
      </c>
      <c r="I1" s="241" t="s">
        <v>189</v>
      </c>
      <c r="J1" s="475" t="s">
        <v>190</v>
      </c>
      <c r="K1" s="476" t="s">
        <v>191</v>
      </c>
      <c r="L1" s="240" t="s">
        <v>192</v>
      </c>
      <c r="M1" s="239" t="s">
        <v>193</v>
      </c>
      <c r="N1" s="242" t="s">
        <v>194</v>
      </c>
      <c r="O1" s="242" t="s">
        <v>195</v>
      </c>
      <c r="P1" s="242" t="s">
        <v>196</v>
      </c>
      <c r="Q1" s="477" t="s">
        <v>197</v>
      </c>
      <c r="R1" s="478" t="s">
        <v>198</v>
      </c>
      <c r="S1" s="240" t="s">
        <v>199</v>
      </c>
      <c r="T1" s="243" t="s">
        <v>156</v>
      </c>
      <c r="U1" s="479" t="s">
        <v>200</v>
      </c>
      <c r="V1" s="480" t="s">
        <v>201</v>
      </c>
      <c r="W1" s="326" t="s">
        <v>82</v>
      </c>
      <c r="X1" s="247" t="s">
        <v>83</v>
      </c>
      <c r="Y1" s="246" t="s">
        <v>84</v>
      </c>
      <c r="Z1" s="246" t="s">
        <v>85</v>
      </c>
      <c r="AA1" s="246" t="s">
        <v>86</v>
      </c>
      <c r="AB1" s="248" t="s">
        <v>87</v>
      </c>
      <c r="AC1" s="249" t="s">
        <v>564</v>
      </c>
      <c r="AD1" s="249" t="s">
        <v>565</v>
      </c>
      <c r="AE1" s="249" t="s">
        <v>566</v>
      </c>
      <c r="AF1" s="250" t="s">
        <v>567</v>
      </c>
    </row>
    <row r="2" spans="1:118">
      <c r="A2" s="481"/>
      <c r="B2" s="482"/>
      <c r="C2" s="483" t="s">
        <v>83</v>
      </c>
      <c r="D2" s="484" t="s">
        <v>84</v>
      </c>
      <c r="E2" s="484" t="s">
        <v>85</v>
      </c>
      <c r="F2" s="484"/>
      <c r="G2" s="484" t="s">
        <v>86</v>
      </c>
      <c r="H2" s="484" t="s">
        <v>87</v>
      </c>
      <c r="I2" s="485">
        <f>SUM(I3:I127)</f>
        <v>29734.81</v>
      </c>
      <c r="J2" s="486"/>
      <c r="K2" s="487"/>
      <c r="L2" s="488">
        <f>SUM(L3:L127)</f>
        <v>29734.81</v>
      </c>
      <c r="M2" s="488">
        <f>SUM(M3:M127)</f>
        <v>28955.87</v>
      </c>
      <c r="N2" s="485">
        <f>SUM(N3:N128)</f>
        <v>0</v>
      </c>
      <c r="O2" s="485">
        <f>SUM(O3:O128)</f>
        <v>0</v>
      </c>
      <c r="P2" s="485">
        <f>SUM(P3:P128)</f>
        <v>0</v>
      </c>
      <c r="Q2" s="489"/>
      <c r="R2" s="489"/>
      <c r="S2" s="489"/>
      <c r="T2" s="490">
        <f>SUM(T3:T127)</f>
        <v>52.48</v>
      </c>
      <c r="U2" s="491"/>
      <c r="V2" s="492" t="s">
        <v>202</v>
      </c>
      <c r="W2" s="493">
        <f t="shared" ref="W2:AB2" si="0">SUM(W3:W127)</f>
        <v>7546.85</v>
      </c>
      <c r="X2" s="494">
        <f t="shared" si="0"/>
        <v>0</v>
      </c>
      <c r="Y2" s="494">
        <f t="shared" si="0"/>
        <v>6183.42</v>
      </c>
      <c r="Z2" s="494">
        <f t="shared" si="0"/>
        <v>0</v>
      </c>
      <c r="AA2" s="494">
        <f t="shared" si="0"/>
        <v>0</v>
      </c>
      <c r="AB2" s="495">
        <f t="shared" si="0"/>
        <v>12376.24</v>
      </c>
      <c r="AC2" s="496">
        <f>SUM(W2:AB2)+T2</f>
        <v>26158.99</v>
      </c>
      <c r="AD2" s="497" t="s">
        <v>140</v>
      </c>
    </row>
    <row r="3" spans="1:118">
      <c r="A3" s="498"/>
      <c r="B3" s="499"/>
      <c r="C3" s="500"/>
      <c r="D3" s="501"/>
      <c r="E3" s="502"/>
      <c r="F3" s="503"/>
      <c r="G3" s="503"/>
      <c r="H3" s="504"/>
      <c r="I3" s="161"/>
      <c r="J3" s="505"/>
      <c r="K3" s="506"/>
      <c r="L3" s="161"/>
      <c r="M3" s="507"/>
      <c r="N3" s="277"/>
      <c r="O3" s="277"/>
      <c r="P3" s="277"/>
      <c r="Q3" s="506"/>
      <c r="R3" s="506"/>
      <c r="S3" s="188"/>
      <c r="T3" s="508"/>
      <c r="U3" s="509"/>
      <c r="V3" s="510"/>
      <c r="W3" s="511" t="str">
        <f t="shared" ref="W3:W8" si="1">IF(S3="Accrual",M3,"")</f>
        <v/>
      </c>
      <c r="X3" s="512" t="str">
        <f t="shared" ref="X3:X19" si="2">IF(S3="Receiving",M3,"")</f>
        <v/>
      </c>
      <c r="Y3" s="512" t="str">
        <f>IF(S3="Received",M3,"")</f>
        <v/>
      </c>
      <c r="Z3" s="512" t="str">
        <f>IF(S3="Approved",M3,"")</f>
        <v/>
      </c>
      <c r="AA3" s="512" t="str">
        <f>IF(S3="Paying",M3,"")</f>
        <v/>
      </c>
      <c r="AB3" s="513" t="str">
        <f>IF(S3="Completed",M3,"")</f>
        <v/>
      </c>
      <c r="AC3" s="514"/>
      <c r="AD3" s="290"/>
    </row>
    <row r="4" spans="1:118">
      <c r="A4" s="515">
        <v>46286</v>
      </c>
      <c r="B4" s="160" t="s">
        <v>579</v>
      </c>
      <c r="C4" s="287"/>
      <c r="D4" s="187" t="s">
        <v>79</v>
      </c>
      <c r="E4" s="516"/>
      <c r="F4" s="212"/>
      <c r="G4" s="161">
        <v>2000</v>
      </c>
      <c r="H4" s="517">
        <v>1</v>
      </c>
      <c r="I4" s="273">
        <f>G4*H4</f>
        <v>2000</v>
      </c>
      <c r="J4" s="192">
        <v>10000007</v>
      </c>
      <c r="K4" s="518">
        <f>A4</f>
        <v>46286</v>
      </c>
      <c r="L4" s="273">
        <f>I4</f>
        <v>2000</v>
      </c>
      <c r="M4" s="273">
        <f>L4</f>
        <v>2000</v>
      </c>
      <c r="N4" s="212"/>
      <c r="O4" s="212"/>
      <c r="P4" s="212"/>
      <c r="Q4" s="518"/>
      <c r="R4" s="518"/>
      <c r="S4" s="192" t="s">
        <v>87</v>
      </c>
      <c r="T4" s="519"/>
      <c r="U4" s="520"/>
      <c r="V4" s="521" t="s">
        <v>400</v>
      </c>
      <c r="W4" s="522" t="str">
        <f t="shared" si="1"/>
        <v/>
      </c>
      <c r="X4" s="523" t="str">
        <f t="shared" si="2"/>
        <v/>
      </c>
      <c r="Y4" s="523" t="str">
        <f>IF(S4="Received",M4,"")</f>
        <v/>
      </c>
      <c r="Z4" s="523" t="str">
        <f>IF(S4="Approved",M4,"")</f>
        <v/>
      </c>
      <c r="AA4" s="523" t="str">
        <f>IF(S4="Paying",M4,"")</f>
        <v/>
      </c>
      <c r="AB4" s="524">
        <f>IF(S4="Completed",M4,"")</f>
        <v>2000</v>
      </c>
      <c r="AC4" s="514">
        <f>IF(OR(AD4="船东付",AD4="待收"),0,M4)</f>
        <v>0</v>
      </c>
      <c r="AD4" s="525" t="s">
        <v>566</v>
      </c>
    </row>
    <row r="5" s="467" customFormat="1" spans="1:118">
      <c r="A5" s="526">
        <v>46284</v>
      </c>
      <c r="B5" s="527" t="s">
        <v>580</v>
      </c>
      <c r="C5" s="528"/>
      <c r="D5" s="527"/>
      <c r="E5" s="527"/>
      <c r="F5" s="529"/>
      <c r="G5" s="530">
        <v>522.51</v>
      </c>
      <c r="H5" s="531">
        <v>1</v>
      </c>
      <c r="I5" s="532">
        <f>G5*H5</f>
        <v>522.51</v>
      </c>
      <c r="J5" s="530">
        <v>4000002</v>
      </c>
      <c r="K5" s="533"/>
      <c r="L5" s="532">
        <f>I5</f>
        <v>522.51</v>
      </c>
      <c r="M5" s="532">
        <f>L5</f>
        <v>522.51</v>
      </c>
      <c r="N5" s="527"/>
      <c r="O5" s="527"/>
      <c r="P5" s="527"/>
      <c r="Q5" s="533"/>
      <c r="R5" s="533"/>
      <c r="S5" s="528"/>
      <c r="T5" s="534"/>
      <c r="U5" s="535"/>
      <c r="V5" s="536" t="s">
        <v>581</v>
      </c>
      <c r="W5" s="537" t="str">
        <f t="shared" si="1"/>
        <v/>
      </c>
      <c r="X5" s="538" t="str">
        <f t="shared" si="2"/>
        <v/>
      </c>
      <c r="Y5" s="538"/>
      <c r="Z5" s="539"/>
      <c r="AA5" s="539"/>
      <c r="AB5" s="540" t="str">
        <f t="shared" ref="AB5:AB14" si="3">IF(S5="Completed",M5,"")</f>
        <v/>
      </c>
      <c r="AC5" s="541">
        <f t="shared" ref="AC5:AC6" si="4">IF(OR(AD5="船东付",AD5="待收"),0,L5)</f>
        <v>0</v>
      </c>
      <c r="AD5" s="542" t="s">
        <v>566</v>
      </c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9"/>
      <c r="DG5" s="119"/>
      <c r="DH5" s="119"/>
      <c r="DI5" s="119"/>
      <c r="DJ5" s="119"/>
      <c r="DK5" s="119"/>
      <c r="DL5" s="119"/>
      <c r="DM5" s="119"/>
      <c r="DN5" s="119"/>
    </row>
    <row r="6" spans="1:118">
      <c r="A6" s="543">
        <v>46281</v>
      </c>
      <c r="B6" s="212" t="s">
        <v>232</v>
      </c>
      <c r="C6" s="188"/>
      <c r="D6" s="212" t="s">
        <v>233</v>
      </c>
      <c r="E6" s="188"/>
      <c r="F6" s="291" t="s">
        <v>582</v>
      </c>
      <c r="G6" s="544">
        <v>28650</v>
      </c>
      <c r="H6" s="517">
        <v>0.149</v>
      </c>
      <c r="I6" s="273">
        <f>G6*H6</f>
        <v>4268.85</v>
      </c>
      <c r="J6" s="192">
        <v>4000005</v>
      </c>
      <c r="K6" s="518"/>
      <c r="L6" s="273">
        <f>I6</f>
        <v>4268.85</v>
      </c>
      <c r="M6" s="273">
        <f>L6</f>
        <v>4268.85</v>
      </c>
      <c r="N6" s="212"/>
      <c r="O6" s="212"/>
      <c r="P6" s="212"/>
      <c r="Q6" s="518"/>
      <c r="R6" s="518"/>
      <c r="S6" s="188" t="s">
        <v>82</v>
      </c>
      <c r="T6" s="545"/>
      <c r="U6" s="509"/>
      <c r="V6" s="546" t="s">
        <v>583</v>
      </c>
      <c r="W6" s="511">
        <f t="shared" si="1"/>
        <v>4268.85</v>
      </c>
      <c r="X6" s="512" t="str">
        <f t="shared" si="2"/>
        <v/>
      </c>
      <c r="Y6" s="512" t="str">
        <f>IF(S6="Received",M6,"")</f>
        <v/>
      </c>
      <c r="Z6" s="512" t="str">
        <f>IF(S6="Approved",M6,"")</f>
        <v/>
      </c>
      <c r="AA6" s="512" t="str">
        <f>IF(S6="Paying",M6,"")</f>
        <v/>
      </c>
      <c r="AB6" s="513" t="str">
        <f t="shared" si="3"/>
        <v/>
      </c>
      <c r="AC6" s="514">
        <f t="shared" si="4"/>
        <v>0</v>
      </c>
      <c r="AD6" s="547" t="s">
        <v>566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</row>
    <row r="7" customFormat="1" spans="1:118">
      <c r="A7" s="543">
        <v>46281</v>
      </c>
      <c r="B7" s="548" t="s">
        <v>234</v>
      </c>
      <c r="C7" s="549" t="s">
        <v>235</v>
      </c>
      <c r="D7" s="212" t="s">
        <v>226</v>
      </c>
      <c r="E7" s="188" t="s">
        <v>236</v>
      </c>
      <c r="F7" s="550" t="s">
        <v>584</v>
      </c>
      <c r="G7" s="161">
        <v>560</v>
      </c>
      <c r="H7" s="517">
        <v>1</v>
      </c>
      <c r="I7" s="273">
        <v>560</v>
      </c>
      <c r="J7" s="192">
        <v>2000008</v>
      </c>
      <c r="K7" s="518"/>
      <c r="L7" s="273">
        <v>560</v>
      </c>
      <c r="M7" s="273">
        <v>560</v>
      </c>
      <c r="N7" s="212"/>
      <c r="O7" s="212"/>
      <c r="P7" s="212"/>
      <c r="Q7" s="518"/>
      <c r="R7" s="518"/>
      <c r="S7" s="188" t="s">
        <v>84</v>
      </c>
      <c r="T7" s="207"/>
      <c r="U7" s="212"/>
      <c r="V7" s="551" t="s">
        <v>585</v>
      </c>
      <c r="W7" s="522" t="str">
        <f t="shared" si="1"/>
        <v/>
      </c>
      <c r="X7" s="552" t="str">
        <f t="shared" si="2"/>
        <v/>
      </c>
      <c r="Y7" s="523">
        <f>IF(S7="Received",M7,"")</f>
        <v>560</v>
      </c>
      <c r="Z7" s="553" t="str">
        <f>IF(S7="Approved",M7,"")</f>
        <v/>
      </c>
      <c r="AA7" s="553" t="str">
        <f>IF(S7="Paying",M7,"")</f>
        <v/>
      </c>
      <c r="AB7" s="524" t="str">
        <f t="shared" si="3"/>
        <v/>
      </c>
      <c r="AC7" s="514">
        <f t="shared" ref="AC7:AC19" si="5">IF(OR(AD7="船东付",AD7="待收"),0,L7)</f>
        <v>0</v>
      </c>
      <c r="AD7" s="290" t="s">
        <v>566</v>
      </c>
      <c r="AE7" s="119"/>
      <c r="AF7" s="554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  <c r="DF7" s="119"/>
      <c r="DG7" s="119"/>
      <c r="DH7" s="119"/>
      <c r="DI7" s="119"/>
      <c r="DJ7" s="119"/>
      <c r="DK7" s="119"/>
      <c r="DL7" s="119"/>
      <c r="DM7" s="119"/>
      <c r="DN7" s="119"/>
    </row>
    <row r="8" customFormat="1" spans="1:118">
      <c r="A8" s="543">
        <v>46262</v>
      </c>
      <c r="B8" s="187" t="s">
        <v>334</v>
      </c>
      <c r="C8" s="160" t="s">
        <v>335</v>
      </c>
      <c r="D8" s="212" t="s">
        <v>226</v>
      </c>
      <c r="E8" s="188" t="s">
        <v>336</v>
      </c>
      <c r="F8" s="555" t="s">
        <v>586</v>
      </c>
      <c r="G8" s="207">
        <v>3206.79</v>
      </c>
      <c r="H8" s="517">
        <v>1</v>
      </c>
      <c r="I8" s="273">
        <v>3206.79</v>
      </c>
      <c r="J8" s="192">
        <v>3000004</v>
      </c>
      <c r="K8" s="518"/>
      <c r="L8" s="273">
        <v>3206.79</v>
      </c>
      <c r="M8" s="273">
        <v>1620.58</v>
      </c>
      <c r="N8" s="212"/>
      <c r="O8" s="212"/>
      <c r="P8" s="212"/>
      <c r="Q8" s="518">
        <v>46283</v>
      </c>
      <c r="R8" s="518">
        <v>46313</v>
      </c>
      <c r="S8" s="188" t="s">
        <v>84</v>
      </c>
      <c r="T8" s="207"/>
      <c r="U8" s="212"/>
      <c r="V8" s="556" t="s">
        <v>587</v>
      </c>
      <c r="W8" s="522" t="str">
        <f t="shared" si="1"/>
        <v/>
      </c>
      <c r="X8" s="552" t="str">
        <f t="shared" si="2"/>
        <v/>
      </c>
      <c r="Y8" s="523">
        <f>IF(S8="Received",M8,"")</f>
        <v>1620.58</v>
      </c>
      <c r="Z8" s="553" t="str">
        <f>IF(S8="Approved",M8,"")</f>
        <v/>
      </c>
      <c r="AA8" s="553" t="str">
        <f>IF(S8="Paying",M8,"")</f>
        <v/>
      </c>
      <c r="AB8" s="524" t="str">
        <f t="shared" si="3"/>
        <v/>
      </c>
      <c r="AC8" s="514">
        <f t="shared" si="5"/>
        <v>0</v>
      </c>
      <c r="AD8" s="290" t="s">
        <v>566</v>
      </c>
      <c r="AE8" s="554"/>
    </row>
    <row r="9" spans="1:118">
      <c r="A9" s="543">
        <v>46262</v>
      </c>
      <c r="B9" s="212" t="s">
        <v>327</v>
      </c>
      <c r="C9" s="188" t="s">
        <v>328</v>
      </c>
      <c r="D9" s="212" t="s">
        <v>291</v>
      </c>
      <c r="E9" s="188" t="s">
        <v>330</v>
      </c>
      <c r="F9" s="291" t="s">
        <v>588</v>
      </c>
      <c r="G9" s="207">
        <v>1127.37</v>
      </c>
      <c r="H9" s="517">
        <v>1</v>
      </c>
      <c r="I9" s="273">
        <f t="shared" ref="I9:I17" si="6">G9*H9</f>
        <v>1127.37</v>
      </c>
      <c r="J9" s="192">
        <v>3000006</v>
      </c>
      <c r="K9" s="518"/>
      <c r="L9" s="273">
        <f t="shared" ref="L9:L19" si="7">I9</f>
        <v>1127.37</v>
      </c>
      <c r="M9" s="273">
        <f>L9+100</f>
        <v>1227.37</v>
      </c>
      <c r="N9" s="212"/>
      <c r="O9" s="212"/>
      <c r="P9" s="212"/>
      <c r="Q9" s="518">
        <v>46287</v>
      </c>
      <c r="R9" s="518"/>
      <c r="S9" s="188" t="s">
        <v>84</v>
      </c>
      <c r="T9" s="545"/>
      <c r="U9" s="557" t="s">
        <v>589</v>
      </c>
      <c r="V9" s="558" t="s">
        <v>590</v>
      </c>
      <c r="W9" s="559"/>
      <c r="X9" s="512" t="str">
        <f t="shared" si="2"/>
        <v/>
      </c>
      <c r="Y9" s="512">
        <f t="shared" ref="Y9:Y19" si="8">IF(S9="Received",M9,"")</f>
        <v>1227.37</v>
      </c>
      <c r="Z9" s="512" t="str">
        <f t="shared" ref="Z9:Z19" si="9">IF(S9="Approved",M9,"")</f>
        <v/>
      </c>
      <c r="AA9" s="512" t="str">
        <f t="shared" ref="AA9:AA19" si="10">IF(S9="Paying",M9,"")</f>
        <v/>
      </c>
      <c r="AB9" s="560" t="str">
        <f t="shared" si="3"/>
        <v/>
      </c>
      <c r="AC9" s="514">
        <f t="shared" si="5"/>
        <v>0</v>
      </c>
      <c r="AD9" s="290" t="s">
        <v>566</v>
      </c>
      <c r="AE9" s="554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</row>
    <row r="10" s="468" customFormat="1" spans="1:118">
      <c r="A10" s="543">
        <v>46262</v>
      </c>
      <c r="B10" s="212" t="s">
        <v>358</v>
      </c>
      <c r="C10" s="188"/>
      <c r="D10" s="212" t="s">
        <v>359</v>
      </c>
      <c r="E10" s="188"/>
      <c r="F10" s="555" t="s">
        <v>591</v>
      </c>
      <c r="G10" s="544">
        <v>17900</v>
      </c>
      <c r="H10" s="517">
        <v>0.149</v>
      </c>
      <c r="I10" s="273">
        <f t="shared" si="6"/>
        <v>2667.1</v>
      </c>
      <c r="J10" s="192">
        <v>4000010</v>
      </c>
      <c r="K10" s="518"/>
      <c r="L10" s="273">
        <f t="shared" si="7"/>
        <v>2667.1</v>
      </c>
      <c r="M10" s="273">
        <f>22000*0.149</f>
        <v>3278</v>
      </c>
      <c r="N10" s="212"/>
      <c r="O10" s="212"/>
      <c r="P10" s="212"/>
      <c r="Q10" s="518"/>
      <c r="R10" s="518"/>
      <c r="S10" s="279" t="s">
        <v>82</v>
      </c>
      <c r="T10" s="519"/>
      <c r="U10" s="561"/>
      <c r="V10" s="558" t="s">
        <v>592</v>
      </c>
      <c r="W10" s="511">
        <f>IF(S10="Accrual",M10,"")</f>
        <v>3278</v>
      </c>
      <c r="X10" s="512" t="str">
        <f t="shared" si="2"/>
        <v/>
      </c>
      <c r="Y10" s="512" t="str">
        <f t="shared" si="8"/>
        <v/>
      </c>
      <c r="Z10" s="512" t="str">
        <f t="shared" si="9"/>
        <v/>
      </c>
      <c r="AA10" s="512" t="str">
        <f t="shared" si="10"/>
        <v/>
      </c>
      <c r="AB10" s="560" t="str">
        <f t="shared" si="3"/>
        <v/>
      </c>
      <c r="AC10" s="514">
        <f t="shared" si="5"/>
        <v>0</v>
      </c>
      <c r="AD10" s="290" t="s">
        <v>566</v>
      </c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  <c r="DF10" s="119"/>
      <c r="DG10" s="119"/>
      <c r="DH10" s="119"/>
      <c r="DI10" s="119"/>
      <c r="DJ10" s="119"/>
      <c r="DK10" s="119"/>
      <c r="DL10" s="119"/>
      <c r="DM10" s="119"/>
      <c r="DN10" s="119"/>
    </row>
    <row r="11" s="468" customFormat="1" spans="1:118">
      <c r="A11" s="543">
        <v>46262</v>
      </c>
      <c r="B11" s="187" t="s">
        <v>331</v>
      </c>
      <c r="C11" s="562" t="s">
        <v>332</v>
      </c>
      <c r="D11" s="212" t="s">
        <v>226</v>
      </c>
      <c r="E11" s="188" t="s">
        <v>333</v>
      </c>
      <c r="F11" s="291" t="s">
        <v>593</v>
      </c>
      <c r="G11" s="207">
        <v>1741.1</v>
      </c>
      <c r="H11" s="517">
        <v>1</v>
      </c>
      <c r="I11" s="273">
        <v>1741.1</v>
      </c>
      <c r="J11" s="192">
        <v>3000010</v>
      </c>
      <c r="K11" s="518"/>
      <c r="L11" s="273">
        <v>1741.1</v>
      </c>
      <c r="M11" s="273">
        <v>1837.47</v>
      </c>
      <c r="N11" s="212"/>
      <c r="O11" s="212"/>
      <c r="P11" s="212"/>
      <c r="Q11" s="518">
        <v>46283</v>
      </c>
      <c r="R11" s="518">
        <v>46313</v>
      </c>
      <c r="S11" s="188" t="s">
        <v>84</v>
      </c>
      <c r="T11" s="207"/>
      <c r="U11" s="212"/>
      <c r="V11" s="556" t="s">
        <v>594</v>
      </c>
      <c r="W11" s="522" t="str">
        <f>IF(S11="Accrual",M11,"")</f>
        <v/>
      </c>
      <c r="X11" s="552" t="str">
        <f t="shared" si="2"/>
        <v/>
      </c>
      <c r="Y11" s="523">
        <f t="shared" si="8"/>
        <v>1837.47</v>
      </c>
      <c r="Z11" s="553" t="str">
        <f t="shared" si="9"/>
        <v/>
      </c>
      <c r="AA11" s="553" t="str">
        <f t="shared" si="10"/>
        <v/>
      </c>
      <c r="AB11" s="524" t="str">
        <f t="shared" si="3"/>
        <v/>
      </c>
      <c r="AC11" s="514">
        <f t="shared" si="5"/>
        <v>0</v>
      </c>
      <c r="AD11" s="290" t="s">
        <v>566</v>
      </c>
      <c r="AE11" s="119"/>
      <c r="AF11" s="563"/>
      <c r="AG11" s="563"/>
      <c r="AH11" s="563"/>
      <c r="AI11" s="563"/>
      <c r="AJ11" s="563"/>
      <c r="AK11" s="563"/>
      <c r="AL11" s="563"/>
      <c r="AM11" s="563"/>
      <c r="AN11" s="563"/>
      <c r="AO11" s="563"/>
      <c r="AP11" s="563"/>
      <c r="AQ11" s="563"/>
      <c r="AR11" s="563"/>
      <c r="AS11" s="563"/>
      <c r="AT11" s="563"/>
      <c r="AU11" s="563"/>
      <c r="AV11" s="563"/>
      <c r="AW11" s="563"/>
      <c r="AX11" s="563"/>
      <c r="AY11" s="563"/>
      <c r="AZ11" s="563"/>
      <c r="BA11" s="563"/>
      <c r="BB11" s="563"/>
      <c r="BC11" s="563"/>
      <c r="BD11" s="563"/>
      <c r="BE11" s="563"/>
      <c r="BF11" s="563"/>
      <c r="BG11" s="563"/>
      <c r="BH11" s="563"/>
      <c r="BI11" s="563"/>
      <c r="BJ11" s="563"/>
      <c r="BK11" s="563"/>
      <c r="BL11" s="563"/>
      <c r="BM11" s="563"/>
      <c r="BN11" s="563"/>
      <c r="BO11" s="563"/>
      <c r="BP11" s="563"/>
      <c r="BQ11" s="563"/>
      <c r="BR11" s="563"/>
      <c r="BS11" s="563"/>
      <c r="BT11" s="563"/>
      <c r="BU11" s="563"/>
      <c r="BV11" s="563"/>
      <c r="BW11" s="563"/>
      <c r="BX11" s="563"/>
      <c r="BY11" s="563"/>
      <c r="BZ11" s="563"/>
      <c r="CA11" s="563"/>
      <c r="CB11" s="563"/>
      <c r="CC11" s="563"/>
      <c r="CD11" s="563"/>
      <c r="CE11" s="563"/>
      <c r="CF11" s="563"/>
      <c r="CG11" s="563"/>
      <c r="CH11" s="563"/>
      <c r="CI11" s="563"/>
      <c r="CJ11" s="563"/>
      <c r="CK11" s="563"/>
      <c r="CL11" s="563"/>
      <c r="CM11" s="563"/>
      <c r="CN11" s="563"/>
      <c r="CO11" s="563"/>
      <c r="CP11" s="563"/>
      <c r="CQ11" s="563"/>
      <c r="CR11" s="563"/>
      <c r="CS11" s="563"/>
      <c r="CT11" s="563"/>
      <c r="CU11" s="563"/>
      <c r="CV11" s="563"/>
      <c r="CW11" s="563"/>
      <c r="CX11" s="563"/>
      <c r="CY11" s="563"/>
      <c r="CZ11" s="563"/>
      <c r="DA11" s="563"/>
      <c r="DB11" s="563"/>
      <c r="DC11" s="563"/>
      <c r="DD11" s="563"/>
      <c r="DE11" s="563"/>
      <c r="DF11" s="563"/>
      <c r="DG11" s="563"/>
      <c r="DH11" s="563"/>
      <c r="DI11" s="563"/>
      <c r="DJ11" s="563"/>
      <c r="DK11" s="563"/>
      <c r="DL11" s="563"/>
      <c r="DM11" s="563"/>
      <c r="DN11" s="563"/>
    </row>
    <row r="12" s="468" customFormat="1" spans="1:118">
      <c r="A12" s="543">
        <v>46262</v>
      </c>
      <c r="B12" s="187" t="s">
        <v>348</v>
      </c>
      <c r="C12" s="562" t="s">
        <v>349</v>
      </c>
      <c r="D12" s="212" t="s">
        <v>226</v>
      </c>
      <c r="E12" s="188" t="s">
        <v>350</v>
      </c>
      <c r="F12" s="291" t="s">
        <v>595</v>
      </c>
      <c r="G12" s="207">
        <v>653</v>
      </c>
      <c r="H12" s="517">
        <v>1</v>
      </c>
      <c r="I12" s="207">
        <f>G12*H12</f>
        <v>653</v>
      </c>
      <c r="J12" s="192">
        <v>3000004</v>
      </c>
      <c r="K12" s="518"/>
      <c r="L12" s="207">
        <f>I12</f>
        <v>653</v>
      </c>
      <c r="M12" s="273">
        <f>L12</f>
        <v>653</v>
      </c>
      <c r="N12" s="212"/>
      <c r="O12" s="212"/>
      <c r="P12" s="212"/>
      <c r="Q12" s="518">
        <v>46283</v>
      </c>
      <c r="R12" s="518">
        <v>46313</v>
      </c>
      <c r="S12" s="188" t="s">
        <v>84</v>
      </c>
      <c r="T12" s="207"/>
      <c r="U12" s="212"/>
      <c r="V12" s="556" t="s">
        <v>596</v>
      </c>
      <c r="W12" s="522" t="str">
        <f>IF(S12="Accrual",M12,"")</f>
        <v/>
      </c>
      <c r="X12" s="552" t="str">
        <f t="shared" si="2"/>
        <v/>
      </c>
      <c r="Y12" s="523">
        <f t="shared" si="8"/>
        <v>653</v>
      </c>
      <c r="Z12" s="553" t="str">
        <f t="shared" si="9"/>
        <v/>
      </c>
      <c r="AA12" s="553" t="str">
        <f t="shared" si="10"/>
        <v/>
      </c>
      <c r="AB12" s="524" t="str">
        <f t="shared" si="3"/>
        <v/>
      </c>
      <c r="AC12" s="514">
        <f t="shared" si="5"/>
        <v>0</v>
      </c>
      <c r="AD12" s="290" t="s">
        <v>566</v>
      </c>
      <c r="AE12" s="119"/>
      <c r="AF12" s="563"/>
      <c r="AG12" s="563"/>
      <c r="AH12" s="563"/>
      <c r="AI12" s="563"/>
      <c r="AJ12" s="563"/>
      <c r="AK12" s="563"/>
      <c r="AL12" s="563"/>
      <c r="AM12" s="563"/>
      <c r="AN12" s="563"/>
      <c r="AO12" s="563"/>
      <c r="AP12" s="563"/>
      <c r="AQ12" s="563"/>
      <c r="AR12" s="563"/>
      <c r="AS12" s="563"/>
      <c r="AT12" s="563"/>
      <c r="AU12" s="563"/>
      <c r="AV12" s="563"/>
      <c r="AW12" s="563"/>
      <c r="AX12" s="563"/>
      <c r="AY12" s="563"/>
      <c r="AZ12" s="563"/>
      <c r="BA12" s="563"/>
      <c r="BB12" s="563"/>
      <c r="BC12" s="563"/>
      <c r="BD12" s="563"/>
      <c r="BE12" s="563"/>
      <c r="BF12" s="563"/>
      <c r="BG12" s="563"/>
      <c r="BH12" s="563"/>
      <c r="BI12" s="563"/>
      <c r="BJ12" s="563"/>
      <c r="BK12" s="563"/>
      <c r="BL12" s="563"/>
      <c r="BM12" s="563"/>
      <c r="BN12" s="563"/>
      <c r="BO12" s="563"/>
      <c r="BP12" s="563"/>
      <c r="BQ12" s="563"/>
      <c r="BR12" s="563"/>
      <c r="BS12" s="563"/>
      <c r="BT12" s="563"/>
      <c r="BU12" s="563"/>
      <c r="BV12" s="563"/>
      <c r="BW12" s="563"/>
      <c r="BX12" s="563"/>
      <c r="BY12" s="563"/>
      <c r="BZ12" s="563"/>
      <c r="CA12" s="563"/>
      <c r="CB12" s="563"/>
      <c r="CC12" s="563"/>
      <c r="CD12" s="563"/>
      <c r="CE12" s="563"/>
      <c r="CF12" s="563"/>
      <c r="CG12" s="563"/>
      <c r="CH12" s="563"/>
      <c r="CI12" s="563"/>
      <c r="CJ12" s="563"/>
      <c r="CK12" s="563"/>
      <c r="CL12" s="563"/>
      <c r="CM12" s="563"/>
      <c r="CN12" s="563"/>
      <c r="CO12" s="563"/>
      <c r="CP12" s="563"/>
      <c r="CQ12" s="563"/>
      <c r="CR12" s="563"/>
      <c r="CS12" s="563"/>
      <c r="CT12" s="563"/>
      <c r="CU12" s="563"/>
      <c r="CV12" s="563"/>
      <c r="CW12" s="563"/>
      <c r="CX12" s="563"/>
      <c r="CY12" s="563"/>
      <c r="CZ12" s="563"/>
      <c r="DA12" s="563"/>
      <c r="DB12" s="563"/>
      <c r="DC12" s="563"/>
      <c r="DD12" s="563"/>
      <c r="DE12" s="563"/>
      <c r="DF12" s="563"/>
      <c r="DG12" s="563"/>
      <c r="DH12" s="563"/>
      <c r="DI12" s="563"/>
      <c r="DJ12" s="563"/>
      <c r="DK12" s="563"/>
      <c r="DL12" s="563"/>
      <c r="DM12" s="563"/>
      <c r="DN12" s="563"/>
    </row>
    <row r="13" s="468" customFormat="1" spans="1:118">
      <c r="A13" s="543">
        <v>46262</v>
      </c>
      <c r="B13" s="212" t="s">
        <v>351</v>
      </c>
      <c r="C13" s="160" t="s">
        <v>352</v>
      </c>
      <c r="D13" s="212" t="s">
        <v>226</v>
      </c>
      <c r="E13" s="188" t="s">
        <v>353</v>
      </c>
      <c r="F13" s="291" t="s">
        <v>597</v>
      </c>
      <c r="G13" s="207">
        <v>285</v>
      </c>
      <c r="H13" s="517">
        <v>1</v>
      </c>
      <c r="I13" s="207">
        <f>G13</f>
        <v>285</v>
      </c>
      <c r="J13" s="192">
        <v>3000012</v>
      </c>
      <c r="K13" s="518"/>
      <c r="L13" s="207">
        <f>I13</f>
        <v>285</v>
      </c>
      <c r="M13" s="273">
        <f>L13</f>
        <v>285</v>
      </c>
      <c r="N13" s="212"/>
      <c r="O13" s="212"/>
      <c r="P13" s="212"/>
      <c r="Q13" s="518">
        <v>46283</v>
      </c>
      <c r="R13" s="518">
        <v>46313</v>
      </c>
      <c r="S13" s="188" t="s">
        <v>84</v>
      </c>
      <c r="T13" s="207"/>
      <c r="U13" s="212"/>
      <c r="V13" s="556" t="s">
        <v>598</v>
      </c>
      <c r="W13" s="522" t="str">
        <f>IF(S13="Accrual",M13,"")</f>
        <v/>
      </c>
      <c r="X13" s="552" t="str">
        <f t="shared" si="2"/>
        <v/>
      </c>
      <c r="Y13" s="523">
        <f t="shared" si="8"/>
        <v>285</v>
      </c>
      <c r="Z13" s="553" t="str">
        <f t="shared" si="9"/>
        <v/>
      </c>
      <c r="AA13" s="553" t="str">
        <f t="shared" si="10"/>
        <v/>
      </c>
      <c r="AB13" s="524" t="str">
        <f t="shared" si="3"/>
        <v/>
      </c>
      <c r="AC13" s="514">
        <f t="shared" si="5"/>
        <v>0</v>
      </c>
      <c r="AD13" s="290" t="s">
        <v>566</v>
      </c>
      <c r="AE13" s="119"/>
      <c r="AF13" s="563"/>
      <c r="AG13" s="563"/>
      <c r="AH13" s="563"/>
      <c r="AI13" s="563"/>
      <c r="AJ13" s="563"/>
      <c r="AK13" s="563"/>
      <c r="AL13" s="563"/>
      <c r="AM13" s="563"/>
      <c r="AN13" s="563"/>
      <c r="AO13" s="563"/>
      <c r="AP13" s="563"/>
      <c r="AQ13" s="563"/>
      <c r="AR13" s="563"/>
      <c r="AS13" s="563"/>
      <c r="AT13" s="563"/>
      <c r="AU13" s="563"/>
      <c r="AV13" s="563"/>
      <c r="AW13" s="563"/>
      <c r="AX13" s="563"/>
      <c r="AY13" s="563"/>
      <c r="AZ13" s="563"/>
      <c r="BA13" s="563"/>
      <c r="BB13" s="563"/>
      <c r="BC13" s="563"/>
      <c r="BD13" s="563"/>
      <c r="BE13" s="563"/>
      <c r="BF13" s="563"/>
      <c r="BG13" s="563"/>
      <c r="BH13" s="563"/>
      <c r="BI13" s="563"/>
      <c r="BJ13" s="563"/>
      <c r="BK13" s="563"/>
      <c r="BL13" s="563"/>
      <c r="BM13" s="563"/>
      <c r="BN13" s="563"/>
      <c r="BO13" s="563"/>
      <c r="BP13" s="563"/>
      <c r="BQ13" s="563"/>
      <c r="BR13" s="563"/>
      <c r="BS13" s="563"/>
      <c r="BT13" s="563"/>
      <c r="BU13" s="563"/>
      <c r="BV13" s="563"/>
      <c r="BW13" s="563"/>
      <c r="BX13" s="563"/>
      <c r="BY13" s="563"/>
      <c r="BZ13" s="563"/>
      <c r="CA13" s="563"/>
      <c r="CB13" s="563"/>
      <c r="CC13" s="563"/>
      <c r="CD13" s="563"/>
      <c r="CE13" s="563"/>
      <c r="CF13" s="563"/>
      <c r="CG13" s="563"/>
      <c r="CH13" s="563"/>
      <c r="CI13" s="563"/>
      <c r="CJ13" s="563"/>
      <c r="CK13" s="563"/>
      <c r="CL13" s="563"/>
      <c r="CM13" s="563"/>
      <c r="CN13" s="563"/>
      <c r="CO13" s="563"/>
      <c r="CP13" s="563"/>
      <c r="CQ13" s="563"/>
      <c r="CR13" s="563"/>
      <c r="CS13" s="563"/>
      <c r="CT13" s="563"/>
      <c r="CU13" s="563"/>
      <c r="CV13" s="563"/>
      <c r="CW13" s="563"/>
      <c r="CX13" s="563"/>
      <c r="CY13" s="563"/>
      <c r="CZ13" s="563"/>
      <c r="DA13" s="563"/>
      <c r="DB13" s="563"/>
      <c r="DC13" s="563"/>
      <c r="DD13" s="563"/>
      <c r="DE13" s="563"/>
      <c r="DF13" s="563"/>
      <c r="DG13" s="563"/>
      <c r="DH13" s="563"/>
      <c r="DI13" s="563"/>
      <c r="DJ13" s="563"/>
      <c r="DK13" s="563"/>
      <c r="DL13" s="563"/>
      <c r="DM13" s="563"/>
      <c r="DN13" s="563"/>
    </row>
    <row r="14" s="469" customFormat="1" customHeight="1" spans="1:118">
      <c r="A14" s="564">
        <v>46261</v>
      </c>
      <c r="B14" s="527" t="s">
        <v>360</v>
      </c>
      <c r="C14" s="565"/>
      <c r="D14" s="566" t="s">
        <v>361</v>
      </c>
      <c r="E14" s="528"/>
      <c r="F14" s="529" t="s">
        <v>599</v>
      </c>
      <c r="G14" s="567">
        <v>12500</v>
      </c>
      <c r="H14" s="568">
        <v>0.148148</v>
      </c>
      <c r="I14" s="569">
        <f>G14*H14</f>
        <v>1851.85</v>
      </c>
      <c r="J14" s="528">
        <v>3000007</v>
      </c>
      <c r="K14" s="570"/>
      <c r="L14" s="571">
        <f t="shared" si="7"/>
        <v>1851.85</v>
      </c>
      <c r="M14" s="571">
        <v>1851.85</v>
      </c>
      <c r="N14" s="565"/>
      <c r="O14" s="565"/>
      <c r="P14" s="565"/>
      <c r="Q14" s="570"/>
      <c r="R14" s="570"/>
      <c r="S14" s="528"/>
      <c r="T14" s="572"/>
      <c r="U14" s="573"/>
      <c r="V14" s="574" t="s">
        <v>600</v>
      </c>
      <c r="W14" s="575" t="str">
        <f>IF(S14="Accrual",M14,"")</f>
        <v/>
      </c>
      <c r="X14" s="576" t="str">
        <f t="shared" si="2"/>
        <v/>
      </c>
      <c r="Y14" s="576" t="str">
        <f t="shared" si="8"/>
        <v/>
      </c>
      <c r="Z14" s="576" t="str">
        <f t="shared" si="9"/>
        <v/>
      </c>
      <c r="AA14" s="576" t="str">
        <f t="shared" si="10"/>
        <v/>
      </c>
      <c r="AB14" s="577" t="str">
        <f t="shared" si="3"/>
        <v/>
      </c>
      <c r="AC14" s="514">
        <f t="shared" si="5"/>
        <v>1851.85</v>
      </c>
      <c r="AD14" s="578" t="s">
        <v>564</v>
      </c>
      <c r="AE14" s="119"/>
      <c r="AF14" s="563"/>
      <c r="AG14" s="563"/>
      <c r="AH14" s="563"/>
      <c r="AI14" s="563"/>
      <c r="AJ14" s="563"/>
      <c r="AK14" s="563"/>
      <c r="AL14" s="563"/>
      <c r="AM14" s="563"/>
      <c r="AN14" s="563"/>
      <c r="AO14" s="563"/>
      <c r="AP14" s="563"/>
      <c r="AQ14" s="563"/>
      <c r="AR14" s="563"/>
      <c r="AS14" s="563"/>
      <c r="AT14" s="563"/>
      <c r="AU14" s="563"/>
      <c r="AV14" s="563"/>
      <c r="AW14" s="563"/>
      <c r="AX14" s="563"/>
      <c r="AY14" s="563"/>
      <c r="AZ14" s="563"/>
      <c r="BA14" s="563"/>
      <c r="BB14" s="563"/>
      <c r="BC14" s="563"/>
      <c r="BD14" s="563"/>
      <c r="BE14" s="563"/>
      <c r="BF14" s="563"/>
      <c r="BG14" s="563"/>
      <c r="BH14" s="563"/>
      <c r="BI14" s="563"/>
      <c r="BJ14" s="563"/>
      <c r="BK14" s="563"/>
      <c r="BL14" s="563"/>
      <c r="BM14" s="563"/>
      <c r="BN14" s="563"/>
      <c r="BO14" s="563"/>
      <c r="BP14" s="563"/>
      <c r="BQ14" s="563"/>
      <c r="BR14" s="563"/>
      <c r="BS14" s="563"/>
      <c r="BT14" s="563"/>
      <c r="BU14" s="563"/>
      <c r="BV14" s="563"/>
      <c r="BW14" s="563"/>
      <c r="BX14" s="563"/>
      <c r="BY14" s="563"/>
      <c r="BZ14" s="563"/>
      <c r="CA14" s="563"/>
      <c r="CB14" s="563"/>
      <c r="CC14" s="563"/>
      <c r="CD14" s="563"/>
      <c r="CE14" s="563"/>
      <c r="CF14" s="563"/>
      <c r="CG14" s="563"/>
      <c r="CH14" s="563"/>
      <c r="CI14" s="563"/>
      <c r="CJ14" s="563"/>
      <c r="CK14" s="563"/>
      <c r="CL14" s="563"/>
      <c r="CM14" s="563"/>
      <c r="CN14" s="563"/>
      <c r="CO14" s="563"/>
      <c r="CP14" s="563"/>
      <c r="CQ14" s="563"/>
      <c r="CR14" s="563"/>
      <c r="CS14" s="563"/>
      <c r="CT14" s="563"/>
      <c r="CU14" s="563"/>
      <c r="CV14" s="563"/>
      <c r="CW14" s="563"/>
      <c r="CX14" s="563"/>
      <c r="CY14" s="563"/>
      <c r="CZ14" s="563"/>
      <c r="DA14" s="563"/>
      <c r="DB14" s="563"/>
      <c r="DC14" s="563"/>
      <c r="DD14" s="563"/>
      <c r="DE14" s="563"/>
      <c r="DF14" s="563"/>
      <c r="DG14" s="563"/>
      <c r="DH14" s="563"/>
      <c r="DI14" s="563"/>
      <c r="DJ14" s="563"/>
      <c r="DK14" s="563"/>
      <c r="DL14" s="563"/>
      <c r="DM14" s="563"/>
      <c r="DN14" s="563"/>
    </row>
    <row r="15" spans="1:118">
      <c r="A15" s="543">
        <v>46252</v>
      </c>
      <c r="B15" s="160" t="s">
        <v>364</v>
      </c>
      <c r="C15" s="287"/>
      <c r="D15" s="187" t="s">
        <v>365</v>
      </c>
      <c r="E15" s="188" t="s">
        <v>366</v>
      </c>
      <c r="F15" s="273"/>
      <c r="G15" s="273">
        <v>8121.24</v>
      </c>
      <c r="H15" s="517">
        <v>1</v>
      </c>
      <c r="I15" s="273">
        <f t="shared" si="6"/>
        <v>8121.24</v>
      </c>
      <c r="J15" s="192">
        <v>6000016</v>
      </c>
      <c r="K15" s="518"/>
      <c r="L15" s="273">
        <f t="shared" si="7"/>
        <v>8121.24</v>
      </c>
      <c r="M15" s="273">
        <f>L15</f>
        <v>8121.24</v>
      </c>
      <c r="N15" s="349"/>
      <c r="O15" s="349"/>
      <c r="P15" s="349"/>
      <c r="Q15" s="579"/>
      <c r="R15" s="349"/>
      <c r="S15" s="188" t="s">
        <v>87</v>
      </c>
      <c r="T15" s="545">
        <v>32.48</v>
      </c>
      <c r="U15" s="580" t="s">
        <v>601</v>
      </c>
      <c r="V15" s="546" t="s">
        <v>602</v>
      </c>
      <c r="W15" s="581"/>
      <c r="X15" s="512" t="str">
        <f t="shared" si="2"/>
        <v/>
      </c>
      <c r="Y15" s="512" t="str">
        <f t="shared" si="8"/>
        <v/>
      </c>
      <c r="Z15" s="512" t="str">
        <f t="shared" si="9"/>
        <v/>
      </c>
      <c r="AA15" s="512" t="str">
        <f t="shared" si="10"/>
        <v/>
      </c>
      <c r="AB15" s="560">
        <f t="shared" ref="AB15:AB19" si="11">IF(S15="Completed",M15,"")</f>
        <v>8121.24</v>
      </c>
      <c r="AC15" s="514">
        <f t="shared" si="5"/>
        <v>8121.24</v>
      </c>
      <c r="AD15" s="290" t="s">
        <v>564</v>
      </c>
      <c r="AE15" s="554" t="e">
        <f>Y13+Y12+Y11+W10+Y9+Y8+Y7+W6+W5+AB4</f>
        <v>#VALUE!</v>
      </c>
      <c r="AF15" s="554"/>
    </row>
    <row r="16" ht="13.75" customHeight="1" spans="1:118">
      <c r="A16" s="582">
        <v>46247</v>
      </c>
      <c r="B16" s="501" t="s">
        <v>368</v>
      </c>
      <c r="C16" s="279"/>
      <c r="D16" s="501" t="s">
        <v>369</v>
      </c>
      <c r="E16" s="279" t="s">
        <v>370</v>
      </c>
      <c r="F16" s="583"/>
      <c r="G16" s="583">
        <v>475</v>
      </c>
      <c r="H16" s="274">
        <v>1</v>
      </c>
      <c r="I16" s="284">
        <f t="shared" si="6"/>
        <v>475</v>
      </c>
      <c r="J16" s="584">
        <v>3000012</v>
      </c>
      <c r="K16" s="585"/>
      <c r="L16" s="507">
        <f t="shared" si="7"/>
        <v>475</v>
      </c>
      <c r="M16" s="507">
        <f>L16</f>
        <v>475</v>
      </c>
      <c r="N16" s="586"/>
      <c r="O16" s="586"/>
      <c r="P16" s="586"/>
      <c r="Q16" s="585">
        <v>46247</v>
      </c>
      <c r="R16" s="585">
        <v>46277</v>
      </c>
      <c r="S16" s="279"/>
      <c r="T16" s="587"/>
      <c r="U16" s="588"/>
      <c r="V16" s="589" t="s">
        <v>603</v>
      </c>
      <c r="W16" s="511" t="str">
        <f>IF(S16="Accrual",M16,"")</f>
        <v/>
      </c>
      <c r="X16" s="512" t="str">
        <f t="shared" si="2"/>
        <v/>
      </c>
      <c r="Y16" s="512" t="str">
        <f t="shared" si="8"/>
        <v/>
      </c>
      <c r="Z16" s="512" t="str">
        <f t="shared" si="9"/>
        <v/>
      </c>
      <c r="AA16" s="512" t="str">
        <f t="shared" si="10"/>
        <v/>
      </c>
      <c r="AB16" s="513" t="str">
        <f t="shared" si="11"/>
        <v/>
      </c>
      <c r="AC16" s="514">
        <f t="shared" si="5"/>
        <v>0</v>
      </c>
      <c r="AD16" s="590" t="s">
        <v>567</v>
      </c>
    </row>
    <row r="17" spans="1:30">
      <c r="A17" s="498">
        <v>46237</v>
      </c>
      <c r="B17" s="501" t="s">
        <v>379</v>
      </c>
      <c r="C17" s="279"/>
      <c r="D17" s="501" t="s">
        <v>252</v>
      </c>
      <c r="E17" s="279"/>
      <c r="F17" s="284"/>
      <c r="G17" s="284">
        <v>150</v>
      </c>
      <c r="H17" s="274">
        <v>1</v>
      </c>
      <c r="I17" s="161">
        <f t="shared" si="6"/>
        <v>150</v>
      </c>
      <c r="J17" s="505">
        <v>6000017</v>
      </c>
      <c r="K17" s="591">
        <v>46237</v>
      </c>
      <c r="L17" s="284">
        <f t="shared" si="7"/>
        <v>150</v>
      </c>
      <c r="M17" s="277">
        <f>L17</f>
        <v>150</v>
      </c>
      <c r="N17" s="277">
        <v>0</v>
      </c>
      <c r="O17" s="277">
        <v>0</v>
      </c>
      <c r="P17" s="277">
        <v>0</v>
      </c>
      <c r="Q17" s="585">
        <v>46237</v>
      </c>
      <c r="R17" s="518">
        <v>46252</v>
      </c>
      <c r="S17" s="279" t="s">
        <v>87</v>
      </c>
      <c r="T17" s="508"/>
      <c r="U17" s="592" t="s">
        <v>604</v>
      </c>
      <c r="V17" s="589" t="s">
        <v>605</v>
      </c>
      <c r="W17" s="511" t="str">
        <f>IF(S17="Accrual",M17,"")</f>
        <v/>
      </c>
      <c r="X17" s="512" t="str">
        <f t="shared" si="2"/>
        <v/>
      </c>
      <c r="Y17" s="512" t="str">
        <f t="shared" si="8"/>
        <v/>
      </c>
      <c r="Z17" s="512" t="str">
        <f t="shared" si="9"/>
        <v/>
      </c>
      <c r="AA17" s="512" t="str">
        <f t="shared" si="10"/>
        <v/>
      </c>
      <c r="AB17" s="513">
        <f t="shared" si="11"/>
        <v>150</v>
      </c>
      <c r="AC17" s="514">
        <f t="shared" si="5"/>
        <v>150</v>
      </c>
      <c r="AD17" s="290" t="s">
        <v>564</v>
      </c>
    </row>
    <row r="18" spans="1:30">
      <c r="A18" s="498">
        <v>46234</v>
      </c>
      <c r="B18" s="593" t="s">
        <v>384</v>
      </c>
      <c r="C18" s="279"/>
      <c r="D18" s="501" t="s">
        <v>252</v>
      </c>
      <c r="E18" s="279"/>
      <c r="F18" s="284"/>
      <c r="G18" s="284">
        <v>2080</v>
      </c>
      <c r="H18" s="504">
        <v>1</v>
      </c>
      <c r="I18" s="161">
        <v>2080</v>
      </c>
      <c r="J18" s="505">
        <v>6000014</v>
      </c>
      <c r="K18" s="506">
        <v>46234</v>
      </c>
      <c r="L18" s="507">
        <f t="shared" si="7"/>
        <v>2080</v>
      </c>
      <c r="M18" s="507">
        <f>L18</f>
        <v>2080</v>
      </c>
      <c r="N18" s="277">
        <v>0</v>
      </c>
      <c r="O18" s="277">
        <v>0</v>
      </c>
      <c r="P18" s="277">
        <v>0</v>
      </c>
      <c r="Q18" s="518">
        <v>46234</v>
      </c>
      <c r="R18" s="518">
        <v>46249</v>
      </c>
      <c r="S18" s="279" t="s">
        <v>87</v>
      </c>
      <c r="T18" s="508">
        <v>20</v>
      </c>
      <c r="U18" s="594"/>
      <c r="V18" s="595" t="s">
        <v>606</v>
      </c>
      <c r="W18" s="511" t="str">
        <f>IF(S18="Accrual",M18,"")</f>
        <v/>
      </c>
      <c r="X18" s="512" t="str">
        <f t="shared" si="2"/>
        <v/>
      </c>
      <c r="Y18" s="512" t="str">
        <f t="shared" si="8"/>
        <v/>
      </c>
      <c r="Z18" s="512" t="str">
        <f t="shared" si="9"/>
        <v/>
      </c>
      <c r="AA18" s="512" t="str">
        <f t="shared" si="10"/>
        <v/>
      </c>
      <c r="AB18" s="513">
        <f t="shared" si="11"/>
        <v>2080</v>
      </c>
      <c r="AC18" s="514">
        <f t="shared" si="5"/>
        <v>2080</v>
      </c>
      <c r="AD18" s="290" t="s">
        <v>564</v>
      </c>
    </row>
    <row r="19" ht="13.75" spans="1:30">
      <c r="A19" s="596">
        <v>46233</v>
      </c>
      <c r="B19" s="226" t="s">
        <v>387</v>
      </c>
      <c r="C19" s="597"/>
      <c r="D19" s="598" t="s">
        <v>79</v>
      </c>
      <c r="E19" s="599"/>
      <c r="F19" s="181"/>
      <c r="G19" s="181">
        <v>25</v>
      </c>
      <c r="H19" s="600">
        <v>1</v>
      </c>
      <c r="I19" s="181">
        <f>G19*H19</f>
        <v>25</v>
      </c>
      <c r="J19" s="311">
        <v>6000013</v>
      </c>
      <c r="K19" s="601">
        <v>46234</v>
      </c>
      <c r="L19" s="181">
        <f t="shared" si="7"/>
        <v>25</v>
      </c>
      <c r="M19" s="181">
        <f>L19</f>
        <v>25</v>
      </c>
      <c r="N19" s="312">
        <v>0</v>
      </c>
      <c r="O19" s="312">
        <v>0</v>
      </c>
      <c r="P19" s="312">
        <v>0</v>
      </c>
      <c r="Q19" s="226"/>
      <c r="R19" s="226"/>
      <c r="S19" s="602" t="s">
        <v>87</v>
      </c>
      <c r="T19" s="603"/>
      <c r="U19" s="604"/>
      <c r="V19" s="605" t="s">
        <v>607</v>
      </c>
      <c r="W19" s="606" t="str">
        <f>IF(S19="Accrual",M19,"")</f>
        <v/>
      </c>
      <c r="X19" s="607" t="str">
        <f t="shared" si="2"/>
        <v/>
      </c>
      <c r="Y19" s="607" t="str">
        <f t="shared" si="8"/>
        <v/>
      </c>
      <c r="Z19" s="607" t="str">
        <f t="shared" si="9"/>
        <v/>
      </c>
      <c r="AA19" s="607" t="str">
        <f t="shared" si="10"/>
        <v/>
      </c>
      <c r="AB19" s="608">
        <f t="shared" si="11"/>
        <v>25</v>
      </c>
      <c r="AC19" s="609">
        <f t="shared" si="5"/>
        <v>25</v>
      </c>
      <c r="AD19" s="610" t="s">
        <v>564</v>
      </c>
    </row>
    <row r="21" spans="1:30">
      <c r="E21" s="119"/>
      <c r="L21" s="119"/>
      <c r="Q21" s="472"/>
    </row>
    <row r="22" spans="1:30">
      <c r="Q22" s="472"/>
      <c r="X22" s="554"/>
    </row>
    <row r="23" spans="1:30">
      <c r="A23" s="611"/>
      <c r="J23" s="612"/>
      <c r="K23" s="613"/>
      <c r="Q23" s="613"/>
      <c r="R23" s="613"/>
      <c r="U23" s="465"/>
      <c r="V23" s="465"/>
      <c r="Y23" s="554"/>
    </row>
    <row r="24" spans="1:30">
      <c r="A24" s="611"/>
      <c r="J24" s="612"/>
      <c r="K24" s="613"/>
      <c r="Q24" s="613"/>
      <c r="R24" s="613"/>
      <c r="U24" s="465"/>
      <c r="V24" s="465"/>
      <c r="Y24" s="614"/>
    </row>
    <row r="25" spans="1:30">
      <c r="A25" s="611"/>
      <c r="J25" s="612"/>
      <c r="K25" s="613"/>
      <c r="Q25" s="613"/>
      <c r="R25" s="613"/>
      <c r="U25" s="465"/>
      <c r="V25" s="465"/>
    </row>
    <row r="26" spans="1:30">
      <c r="A26" s="611"/>
      <c r="J26" s="612"/>
      <c r="K26" s="613"/>
      <c r="Q26" s="613"/>
      <c r="R26" s="613"/>
      <c r="U26" s="465"/>
      <c r="V26" s="465"/>
    </row>
    <row r="27" spans="1:30">
      <c r="A27" s="611"/>
      <c r="J27" s="612"/>
      <c r="K27" s="613"/>
      <c r="Q27" s="613"/>
      <c r="R27" s="613"/>
      <c r="U27" s="465"/>
      <c r="V27" s="465"/>
      <c r="X27" s="554"/>
    </row>
    <row r="28" spans="1:30">
      <c r="A28" s="611"/>
      <c r="J28" s="612"/>
      <c r="K28" s="613"/>
      <c r="Q28" s="613"/>
      <c r="R28" s="613"/>
      <c r="U28" s="465"/>
      <c r="V28" s="465"/>
      <c r="X28" s="554"/>
    </row>
    <row r="29" spans="1:30">
      <c r="A29" s="611"/>
      <c r="J29" s="612"/>
      <c r="K29" s="613"/>
      <c r="Q29" s="613"/>
      <c r="R29" s="613"/>
      <c r="U29" s="465"/>
      <c r="V29" s="465"/>
    </row>
    <row r="30" spans="1:30">
      <c r="A30" s="611"/>
      <c r="J30" s="612"/>
      <c r="K30" s="613"/>
      <c r="Q30" s="613"/>
      <c r="R30" s="613"/>
      <c r="U30" s="465"/>
      <c r="V30" s="465"/>
    </row>
    <row r="31" spans="1:30">
      <c r="A31" s="611"/>
      <c r="J31" s="612"/>
      <c r="K31" s="613"/>
      <c r="Q31" s="613"/>
      <c r="R31" s="613"/>
      <c r="T31" s="466"/>
      <c r="U31" s="465"/>
      <c r="V31" s="465"/>
    </row>
    <row r="32" spans="1:30">
      <c r="A32" s="611"/>
      <c r="J32" s="612"/>
      <c r="K32" s="613"/>
      <c r="Q32" s="613"/>
      <c r="R32" s="613"/>
      <c r="U32" s="465"/>
      <c r="V32" s="465"/>
    </row>
    <row r="33" spans="1:22">
      <c r="A33" s="611"/>
      <c r="J33" s="612"/>
      <c r="K33" s="613"/>
      <c r="Q33" s="613"/>
      <c r="R33" s="613"/>
      <c r="U33" s="465"/>
      <c r="V33" s="465"/>
    </row>
    <row r="34" spans="1:22">
      <c r="A34" s="611"/>
      <c r="J34" s="612"/>
      <c r="K34" s="613"/>
      <c r="Q34" s="613"/>
      <c r="R34" s="613"/>
      <c r="U34" s="465"/>
      <c r="V34" s="465"/>
    </row>
    <row r="35" spans="1:22">
      <c r="A35" s="611"/>
      <c r="J35" s="612"/>
      <c r="K35" s="613"/>
      <c r="Q35" s="613"/>
      <c r="R35" s="613"/>
      <c r="U35" s="465"/>
      <c r="V35" s="465"/>
    </row>
    <row r="36" spans="1:22">
      <c r="A36" s="611"/>
      <c r="J36" s="612"/>
      <c r="K36" s="613"/>
      <c r="Q36" s="613"/>
      <c r="R36" s="613"/>
      <c r="U36" s="465"/>
      <c r="V36" s="465"/>
    </row>
    <row r="37" spans="1:22">
      <c r="A37" s="611"/>
      <c r="J37" s="612"/>
      <c r="K37" s="613"/>
      <c r="Q37" s="613"/>
      <c r="R37" s="613"/>
      <c r="U37" s="465"/>
      <c r="V37" s="465"/>
    </row>
    <row r="38" spans="1:22">
      <c r="A38" s="611"/>
      <c r="J38" s="612"/>
      <c r="K38" s="613"/>
      <c r="Q38" s="613"/>
      <c r="R38" s="613"/>
      <c r="U38" s="465"/>
      <c r="V38" s="465"/>
    </row>
    <row r="39" spans="1:22">
      <c r="A39" s="611"/>
      <c r="J39" s="612"/>
      <c r="K39" s="613"/>
      <c r="Q39" s="613"/>
      <c r="R39" s="613"/>
      <c r="U39" s="465"/>
      <c r="V39" s="465"/>
    </row>
    <row r="40" spans="1:22">
      <c r="A40" s="611"/>
      <c r="J40" s="612"/>
      <c r="K40" s="613"/>
      <c r="Q40" s="613"/>
      <c r="R40" s="613"/>
      <c r="U40" s="465"/>
      <c r="V40" s="465"/>
    </row>
    <row r="41" spans="1:22">
      <c r="A41" s="611"/>
      <c r="J41" s="612"/>
      <c r="K41" s="613"/>
      <c r="Q41" s="613"/>
      <c r="R41" s="613"/>
      <c r="U41" s="465"/>
      <c r="V41" s="465"/>
    </row>
    <row r="42" spans="1:22">
      <c r="A42" s="611"/>
      <c r="J42" s="612"/>
      <c r="K42" s="613"/>
      <c r="Q42" s="613"/>
      <c r="R42" s="613"/>
      <c r="U42" s="465"/>
      <c r="V42" s="465"/>
    </row>
    <row r="43" spans="1:22">
      <c r="A43" s="611"/>
      <c r="J43" s="612"/>
      <c r="K43" s="613"/>
      <c r="Q43" s="613"/>
      <c r="R43" s="613"/>
      <c r="U43" s="465"/>
      <c r="V43" s="465"/>
    </row>
    <row r="44" spans="1:22">
      <c r="A44" s="611"/>
      <c r="J44" s="612"/>
      <c r="K44" s="613"/>
      <c r="Q44" s="613"/>
      <c r="R44" s="613"/>
      <c r="U44" s="465"/>
      <c r="V44" s="465"/>
    </row>
    <row r="45" spans="1:22">
      <c r="A45" s="611"/>
      <c r="J45" s="612"/>
      <c r="K45" s="613"/>
      <c r="Q45" s="613"/>
      <c r="R45" s="613"/>
      <c r="U45" s="465"/>
      <c r="V45" s="465"/>
    </row>
    <row r="46" spans="1:22">
      <c r="A46" s="611"/>
      <c r="J46" s="612"/>
      <c r="K46" s="613"/>
      <c r="Q46" s="613"/>
      <c r="R46" s="613"/>
      <c r="U46" s="465"/>
      <c r="V46" s="465"/>
    </row>
    <row r="47" spans="1:22">
      <c r="A47" s="611"/>
      <c r="J47" s="612"/>
      <c r="K47" s="613"/>
      <c r="Q47" s="613"/>
      <c r="R47" s="613"/>
      <c r="U47" s="465"/>
      <c r="V47" s="465"/>
    </row>
    <row r="48" spans="1:22">
      <c r="A48" s="611"/>
      <c r="J48" s="612"/>
      <c r="K48" s="613"/>
      <c r="Q48" s="613"/>
      <c r="R48" s="613"/>
      <c r="U48" s="465"/>
      <c r="V48" s="465"/>
    </row>
    <row r="49" spans="1:22">
      <c r="A49" s="611"/>
      <c r="J49" s="612"/>
      <c r="K49" s="613"/>
      <c r="Q49" s="613"/>
      <c r="R49" s="613"/>
      <c r="U49" s="465"/>
      <c r="V49" s="465"/>
    </row>
    <row r="50" spans="1:22">
      <c r="A50" s="611"/>
      <c r="J50" s="612"/>
      <c r="K50" s="613"/>
      <c r="Q50" s="613"/>
      <c r="R50" s="613"/>
      <c r="U50" s="465"/>
      <c r="V50" s="465"/>
    </row>
    <row r="51" spans="1:22">
      <c r="A51" s="611"/>
      <c r="J51" s="612"/>
      <c r="K51" s="613"/>
      <c r="Q51" s="613"/>
      <c r="R51" s="613"/>
      <c r="U51" s="465"/>
      <c r="V51" s="465"/>
    </row>
    <row r="52" spans="1:22">
      <c r="A52" s="611"/>
      <c r="J52" s="612"/>
      <c r="K52" s="613"/>
      <c r="Q52" s="613"/>
      <c r="R52" s="613"/>
      <c r="U52" s="465"/>
      <c r="V52" s="465"/>
    </row>
    <row r="53" spans="1:22">
      <c r="A53" s="611"/>
      <c r="J53" s="612"/>
      <c r="K53" s="613"/>
      <c r="Q53" s="613"/>
      <c r="R53" s="613"/>
      <c r="U53" s="465"/>
      <c r="V53" s="465"/>
    </row>
    <row r="54" spans="1:22">
      <c r="A54" s="611"/>
      <c r="J54" s="612"/>
      <c r="K54" s="613"/>
      <c r="Q54" s="613"/>
      <c r="R54" s="613"/>
      <c r="U54" s="465"/>
      <c r="V54" s="465"/>
    </row>
    <row r="55" spans="1:22">
      <c r="A55" s="611"/>
      <c r="J55" s="612"/>
      <c r="K55" s="613"/>
      <c r="Q55" s="613"/>
      <c r="R55" s="613"/>
      <c r="U55" s="465"/>
      <c r="V55" s="465"/>
    </row>
    <row r="56" spans="1:22">
      <c r="A56" s="611"/>
      <c r="J56" s="612"/>
      <c r="K56" s="613"/>
      <c r="Q56" s="613"/>
      <c r="R56" s="613"/>
      <c r="U56" s="465"/>
      <c r="V56" s="465"/>
    </row>
    <row r="57" spans="1:22">
      <c r="A57" s="611"/>
      <c r="J57" s="612"/>
      <c r="K57" s="613"/>
      <c r="Q57" s="613"/>
      <c r="R57" s="613"/>
      <c r="U57" s="465"/>
      <c r="V57" s="465"/>
    </row>
    <row r="58" spans="1:22">
      <c r="A58" s="611"/>
      <c r="J58" s="612"/>
      <c r="K58" s="613"/>
      <c r="Q58" s="613"/>
      <c r="R58" s="613"/>
      <c r="U58" s="465"/>
      <c r="V58" s="465"/>
    </row>
    <row r="59" spans="1:22">
      <c r="A59" s="611"/>
      <c r="J59" s="612"/>
      <c r="K59" s="613"/>
      <c r="Q59" s="613"/>
      <c r="R59" s="613"/>
      <c r="U59" s="465"/>
      <c r="V59" s="465"/>
    </row>
    <row r="60" spans="1:22">
      <c r="A60" s="611"/>
      <c r="J60" s="612"/>
      <c r="K60" s="613"/>
      <c r="Q60" s="613"/>
      <c r="R60" s="613"/>
      <c r="U60" s="465"/>
      <c r="V60" s="465"/>
    </row>
    <row r="61" spans="1:22">
      <c r="A61" s="611"/>
      <c r="J61" s="612"/>
      <c r="K61" s="613"/>
      <c r="Q61" s="613"/>
      <c r="R61" s="613"/>
      <c r="U61" s="465"/>
      <c r="V61" s="465"/>
    </row>
    <row r="62" spans="1:22">
      <c r="A62" s="611"/>
      <c r="J62" s="612"/>
      <c r="K62" s="613"/>
      <c r="Q62" s="613"/>
      <c r="R62" s="613"/>
      <c r="U62" s="465"/>
      <c r="V62" s="465"/>
    </row>
    <row r="63" spans="1:22">
      <c r="A63" s="611"/>
      <c r="J63" s="612"/>
      <c r="K63" s="613"/>
      <c r="Q63" s="613"/>
      <c r="R63" s="613"/>
      <c r="U63" s="465"/>
      <c r="V63" s="465"/>
    </row>
    <row r="64" spans="1:22">
      <c r="A64" s="611"/>
      <c r="J64" s="612"/>
      <c r="K64" s="613"/>
      <c r="Q64" s="613"/>
      <c r="R64" s="613"/>
      <c r="U64" s="465"/>
      <c r="V64" s="465"/>
    </row>
    <row r="65" spans="1:22">
      <c r="A65" s="611"/>
      <c r="J65" s="612"/>
      <c r="K65" s="613"/>
      <c r="Q65" s="613"/>
      <c r="R65" s="613"/>
      <c r="U65" s="465"/>
      <c r="V65" s="465"/>
    </row>
    <row r="66" spans="1:22">
      <c r="A66" s="611"/>
      <c r="J66" s="612"/>
      <c r="K66" s="613"/>
      <c r="Q66" s="613"/>
      <c r="R66" s="613"/>
      <c r="U66" s="465"/>
      <c r="V66" s="465"/>
    </row>
    <row r="67" spans="1:22">
      <c r="A67" s="611"/>
      <c r="J67" s="612"/>
      <c r="K67" s="613"/>
      <c r="Q67" s="613"/>
      <c r="R67" s="613"/>
      <c r="U67" s="465"/>
      <c r="V67" s="465"/>
    </row>
    <row r="68" spans="1:22">
      <c r="A68" s="611"/>
      <c r="J68" s="612"/>
      <c r="K68" s="613"/>
      <c r="Q68" s="613"/>
      <c r="R68" s="613"/>
      <c r="U68" s="465"/>
      <c r="V68" s="465"/>
    </row>
    <row r="69" spans="1:22">
      <c r="A69" s="611"/>
      <c r="J69" s="612"/>
      <c r="K69" s="613"/>
      <c r="Q69" s="613"/>
      <c r="R69" s="613"/>
      <c r="U69" s="465"/>
      <c r="V69" s="465"/>
    </row>
    <row r="70" spans="1:22">
      <c r="A70" s="611"/>
      <c r="J70" s="612"/>
      <c r="K70" s="613"/>
      <c r="Q70" s="613"/>
      <c r="R70" s="613"/>
      <c r="U70" s="465"/>
      <c r="V70" s="465"/>
    </row>
    <row r="71" spans="1:22">
      <c r="A71" s="611"/>
      <c r="J71" s="612"/>
      <c r="K71" s="613"/>
      <c r="Q71" s="613"/>
      <c r="R71" s="613"/>
      <c r="U71" s="465"/>
      <c r="V71" s="465"/>
    </row>
    <row r="72" spans="1:22">
      <c r="A72" s="611"/>
      <c r="J72" s="612"/>
      <c r="K72" s="613"/>
      <c r="Q72" s="613"/>
      <c r="R72" s="613"/>
      <c r="U72" s="465"/>
      <c r="V72" s="465"/>
    </row>
    <row r="73" spans="1:22">
      <c r="A73" s="611"/>
      <c r="J73" s="612"/>
      <c r="K73" s="613"/>
      <c r="Q73" s="613"/>
      <c r="R73" s="613"/>
      <c r="U73" s="465"/>
      <c r="V73" s="465"/>
    </row>
    <row r="74" spans="1:22">
      <c r="A74" s="611"/>
      <c r="J74" s="612"/>
      <c r="K74" s="613"/>
      <c r="Q74" s="613"/>
      <c r="R74" s="613"/>
      <c r="U74" s="465"/>
      <c r="V74" s="465"/>
    </row>
    <row r="75" spans="1:22">
      <c r="A75" s="611"/>
      <c r="J75" s="612"/>
      <c r="K75" s="613"/>
      <c r="Q75" s="613"/>
      <c r="R75" s="613"/>
      <c r="U75" s="465"/>
      <c r="V75" s="465"/>
    </row>
    <row r="76" spans="1:22">
      <c r="A76" s="611"/>
      <c r="J76" s="612"/>
      <c r="K76" s="613"/>
      <c r="Q76" s="613"/>
      <c r="R76" s="613"/>
      <c r="U76" s="465"/>
      <c r="V76" s="465"/>
    </row>
    <row r="77" spans="1:22">
      <c r="A77" s="611"/>
      <c r="J77" s="612"/>
      <c r="K77" s="613"/>
      <c r="Q77" s="613"/>
      <c r="R77" s="613"/>
      <c r="U77" s="465"/>
      <c r="V77" s="465"/>
    </row>
    <row r="78" spans="1:22">
      <c r="A78" s="611"/>
      <c r="J78" s="612"/>
      <c r="K78" s="613"/>
      <c r="Q78" s="613"/>
      <c r="R78" s="613"/>
      <c r="U78" s="465"/>
      <c r="V78" s="465"/>
    </row>
    <row r="79" spans="1:22">
      <c r="A79" s="611"/>
      <c r="J79" s="612"/>
      <c r="K79" s="613"/>
      <c r="Q79" s="613"/>
      <c r="R79" s="613"/>
      <c r="U79" s="465"/>
      <c r="V79" s="465"/>
    </row>
    <row r="80" spans="1:22">
      <c r="A80" s="615"/>
      <c r="C80" s="465"/>
      <c r="D80" s="616"/>
      <c r="K80" s="613"/>
      <c r="Q80" s="613"/>
      <c r="R80" s="613"/>
      <c r="U80" s="465"/>
      <c r="V80" s="465"/>
    </row>
  </sheetData>
  <mergeCells count="1">
    <mergeCell ref="U17:U18"/>
  </mergeCells>
  <conditionalFormatting sqref="S4">
    <cfRule type="containsText" dxfId="11" priority="11" stopIfTrue="1" operator="between" text="Paying">
      <formula>NOT(ISERROR(SEARCH("Paying",S4)))</formula>
    </cfRule>
    <cfRule type="containsText" dxfId="12" priority="12" stopIfTrue="1" operator="between" text="Approved">
      <formula>NOT(ISERROR(SEARCH("Approved",S4)))</formula>
    </cfRule>
    <cfRule type="containsText" dxfId="13" priority="13" stopIfTrue="1" operator="between" text="Paying">
      <formula>NOT(ISERROR(SEARCH("Paying",S4)))</formula>
    </cfRule>
    <cfRule type="containsText" dxfId="5" priority="14" stopIfTrue="1" operator="between" text="Uploaded">
      <formula>NOT(ISERROR(SEARCH("Uploaded",S4)))</formula>
    </cfRule>
    <cfRule type="containsText" dxfId="3" priority="15" stopIfTrue="1" operator="between" text="Received">
      <formula>NOT(ISERROR(SEARCH("Received",S4)))</formula>
    </cfRule>
    <cfRule type="containsText" dxfId="2" priority="16" stopIfTrue="1" operator="between" text="Completed">
      <formula>NOT(ISERROR(SEARCH("Completed",S4)))</formula>
    </cfRule>
    <cfRule type="cellIs" dxfId="4" priority="17" stopIfTrue="1" operator="equal">
      <formula>"Receiving"</formula>
    </cfRule>
  </conditionalFormatting>
  <conditionalFormatting sqref="AD4">
    <cfRule type="containsText" dxfId="6" priority="18" operator="between" text="船东付">
      <formula>NOT(ISERROR(SEARCH("船东付",AD4)))</formula>
    </cfRule>
    <cfRule type="containsText" dxfId="7" priority="19" operator="between" text="船东付">
      <formula>NOT(ISERROR(SEARCH("船东付",AD4)))</formula>
    </cfRule>
    <cfRule type="containsText" dxfId="8" priority="20" operator="between" text="待收">
      <formula>NOT(ISERROR(SEARCH("待收",AD4)))</formula>
    </cfRule>
    <cfRule type="containsText" dxfId="10" priority="23" operator="between" text="已收">
      <formula>NOT(ISERROR(SEARCH("已收",AD4)))</formula>
    </cfRule>
    <cfRule type="containsText" dxfId="8" priority="22" operator="between" text="已开票">
      <formula>NOT(ISERROR(SEARCH("已开票",AD4)))</formula>
    </cfRule>
    <cfRule type="containsText" dxfId="9" priority="21" operator="between" text="已开票">
      <formula>NOT(ISERROR(SEARCH("已开票",AD4)))</formula>
    </cfRule>
  </conditionalFormatting>
  <conditionalFormatting sqref="S14">
    <cfRule type="containsText" dxfId="3" priority="60" stopIfTrue="1" operator="between" text="APPROVED">
      <formula>NOT(ISERROR(SEARCH("APPROVED",S14)))</formula>
    </cfRule>
    <cfRule type="containsText" dxfId="5" priority="61" stopIfTrue="1" operator="between" text="received">
      <formula>NOT(ISERROR(SEARCH("received",S14)))</formula>
    </cfRule>
  </conditionalFormatting>
  <conditionalFormatting sqref="S19">
    <cfRule type="containsText" dxfId="5" priority="65" stopIfTrue="1" operator="between" text="Uploaded">
      <formula>NOT(ISERROR(SEARCH("Uploaded",S19)))</formula>
    </cfRule>
    <cfRule type="containsText" dxfId="3" priority="66" stopIfTrue="1" operator="between" text="Received">
      <formula>NOT(ISERROR(SEARCH("Received",S19)))</formula>
    </cfRule>
    <cfRule type="containsText" dxfId="2" priority="67" stopIfTrue="1" operator="between" text="Completed">
      <formula>NOT(ISERROR(SEARCH("Completed",S19)))</formula>
    </cfRule>
    <cfRule type="cellIs" dxfId="4" priority="68" stopIfTrue="1" operator="equal">
      <formula>"Receiving"</formula>
    </cfRule>
    <cfRule type="containsText" dxfId="11" priority="62" stopIfTrue="1" operator="between" text="Paying">
      <formula>NOT(ISERROR(SEARCH("Paying",S19)))</formula>
    </cfRule>
    <cfRule type="containsText" dxfId="12" priority="63" stopIfTrue="1" operator="between" text="Approved">
      <formula>NOT(ISERROR(SEARCH("Approved",S19)))</formula>
    </cfRule>
    <cfRule type="containsText" dxfId="13" priority="64" stopIfTrue="1" operator="between" text="Paying">
      <formula>NOT(ISERROR(SEARCH("Paying",S19)))</formula>
    </cfRule>
  </conditionalFormatting>
  <conditionalFormatting sqref="S5:S13">
    <cfRule type="cellIs" dxfId="4" priority="2" stopIfTrue="1" operator="equal">
      <formula>"Receiving"</formula>
    </cfRule>
  </conditionalFormatting>
  <conditionalFormatting sqref="S15:S16">
    <cfRule type="cellIs" dxfId="4" priority="49" stopIfTrue="1" operator="equal">
      <formula>"Receiving"</formula>
    </cfRule>
  </conditionalFormatting>
  <conditionalFormatting sqref="S15:S18">
    <cfRule type="containsText" dxfId="5" priority="48" stopIfTrue="1" operator="between" text="Paying">
      <formula>NOT(ISERROR(SEARCH("Paying",S15)))</formula>
    </cfRule>
  </conditionalFormatting>
  <conditionalFormatting sqref="S3 S5:S13">
    <cfRule type="containsText" dxfId="5" priority="1" stopIfTrue="1" operator="between" text="Paying">
      <formula>NOT(ISERROR(SEARCH("Paying",S3)))</formula>
    </cfRule>
  </conditionalFormatting>
  <conditionalFormatting sqref="AD3 AD5:AD19">
    <cfRule type="containsText" dxfId="17" priority="41" operator="between" text="已开票">
      <formula>NOT(ISERROR(SEARCH("已开票",AD3)))</formula>
    </cfRule>
    <cfRule type="containsText" dxfId="8" priority="42" operator="between" text="待收">
      <formula>NOT(ISERROR(SEARCH("待收",AD3)))</formula>
    </cfRule>
    <cfRule type="containsText" dxfId="9" priority="43" operator="between" text="已开票">
      <formula>NOT(ISERROR(SEARCH("已开票",AD3)))</formula>
    </cfRule>
    <cfRule type="containsText" dxfId="8" priority="44" operator="between" text="已开票">
      <formula>NOT(ISERROR(SEARCH("已开票",AD3)))</formula>
    </cfRule>
    <cfRule type="containsText" dxfId="10" priority="45" operator="between" text="已收">
      <formula>NOT(ISERROR(SEARCH("已收",AD3)))</formula>
    </cfRule>
    <cfRule type="containsText" dxfId="15" priority="39" operator="between" text="船东付">
      <formula>NOT(ISERROR(SEARCH("船东付",AD3)))</formula>
    </cfRule>
    <cfRule type="containsText" dxfId="16" priority="40" operator="between" text="船东付">
      <formula>NOT(ISERROR(SEARCH("船东付",AD3)))</formula>
    </cfRule>
  </conditionalFormatting>
  <dataValidations count="7">
    <dataValidation type="list" allowBlank="1" showInputMessage="1" showErrorMessage="1" sqref="S3 S17">
      <formula1>$C$2:$H$2</formula1>
    </dataValidation>
    <dataValidation type="list" allowBlank="1" showInputMessage="1" showErrorMessage="1" sqref="AD3 AD5:AD19">
      <formula1>$AC$1:$AF$1</formula1>
    </dataValidation>
    <dataValidation type="list" allowBlank="1" showInputMessage="1" showErrorMessage="1" sqref="S4">
      <formula1>$V$1:$AA$1</formula1>
    </dataValidation>
    <dataValidation type="list" allowBlank="1" showInputMessage="1" showErrorMessage="1" sqref="AD4">
      <formula1>"已收,已开票,待收,船东付"</formula1>
    </dataValidation>
    <dataValidation type="list" allowBlank="1" showInputMessage="1" showErrorMessage="1" sqref="S5 S8 S10:S13 S15:S16 S18:S19 S21:S78">
      <formula1>$W$1:$AB$1</formula1>
    </dataValidation>
    <dataValidation type="list" allowBlank="1" showInputMessage="1" showErrorMessage="1" sqref="S9 S6:S7">
      <formula1>$X$1:$AC$1</formula1>
    </dataValidation>
    <dataValidation type="list" allowBlank="1" showInputMessage="1" showErrorMessage="1" sqref="S14">
      <formula1>"Receiving,Received,Approved,Paying,Completed,Accrual"</formula1>
    </dataValidation>
  </dataValidations>
  <hyperlinks>
    <hyperlink ref="V14" r:id="rId1" display="PIONEER LADY -形式发票(1).pdf"/>
    <hyperlink ref="V16" r:id="rId2" display="PIONEERLADY PILM26052101water ingress detection OCEAN FLEET(2).pdf"/>
    <hyperlink ref="V17" r:id="rId3" display="Invoice_PIONEER LADY_C Monthly_2026_07_21356047_Vizada.pdf"/>
    <hyperlink ref="V19" r:id="rId4" display="制作两枚船章(1).pdf"/>
    <hyperlink ref="V18" r:id="rId5" display="Invoice_PIONEER LADY_AAIC_2026_07_21351855_AAIC.pdf"/>
    <hyperlink ref="U15" r:id="rId6" display="20260903_气瓶押金8,121.24 USD_付款凭证.pdf"/>
    <hyperlink ref="U17" r:id="rId7" display="20260814TELEOCEAN INC2230付款凭证.pdf"/>
    <hyperlink ref="V15" r:id="rId8" display="Proforma Invoice - PIONEER LADY(1).pdf"/>
    <hyperlink ref="V9" r:id="rId9" display="PIONEER LADY 备件发票.pdf"/>
    <hyperlink ref="U9" r:id="rId10" display="EPILP26015 ＋运费发票.pdf"/>
    <hyperlink ref="F10" r:id="rId11" display="Pioneer Lady 船舶申请订单确认报告(驾驶台设备修理).pdf"/>
    <hyperlink ref="F14" r:id="rId12" display="Pioneer Lady 船舶申请订单确认报告(EPILP26026冰机修理)(1).pdf"/>
    <hyperlink ref="F9" r:id="rId13" display="EPILP26015-PIONEER LADY 订单确认报告_20260923143458.pdf"/>
    <hyperlink ref="F6" r:id="rId14" display="Pioneer Lady 船舶申请订单确认报告(EPILP26026冰机修理)(1)(1).pdf"/>
    <hyperlink ref="V6" r:id="rId15" display="PIONEER LADY -形式发票(2).pdf"/>
    <hyperlink ref="V10" r:id="rId16" display="PIONEER LADY通导修理等结算(2).pdf"/>
    <hyperlink ref="V5" r:id="rId17" display="20260919_青岛港加工缆车刹车操作杆费用（RMB3500）522.51USD.pdf"/>
    <hyperlink ref="V4" r:id="rId18" display="678月自修奖金支出3000美元.pdf"/>
    <hyperlink ref="F7" r:id="rId19" display="EPILT26004订单确认报告_20260930161523.pdf"/>
    <hyperlink ref="V7" r:id="rId20" display="EPILT26004__INVOICE.pdf"/>
    <hyperlink ref="F8" r:id="rId21" display="EPILP26019-PIONEER LADY 订单确认报告_20260923151916.pdf"/>
    <hyperlink ref="V8" r:id="rId22" display="EPILP26019__INVOICE.pdf"/>
    <hyperlink ref="F11" r:id="rId23" display="EPILP26017-PIONEER LADY 订单确认报告_20260923150418.pdf"/>
    <hyperlink ref="V11" r:id="rId24" display="EPILP26017__INVOICE.pdf"/>
    <hyperlink ref="F12" r:id="rId25" display="EPILP26024-PIONEER LADY 订单确认报告_20260923155407.pdf"/>
    <hyperlink ref="V12" r:id="rId26" display="EPILP26024__INVOICE.pdf"/>
    <hyperlink ref="F13" r:id="rId27" display="EPILP26025-PIONEER LADY 订单确认报告_20260923155439.pdf"/>
    <hyperlink ref="V13" r:id="rId28" display="EPILP26025__INVOICE.pdf"/>
  </hyperlink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7"/>
  <sheetViews>
    <sheetView zoomScale="85" zoomScaleNormal="85" topLeftCell="G1" workbookViewId="0">
      <selection activeCell="R24" sqref="R24"/>
    </sheetView>
  </sheetViews>
  <sheetFormatPr defaultColWidth="8.72727272727273" defaultRowHeight="13"/>
  <cols>
    <col min="1" max="1" width="9.90909090909091" customWidth="1"/>
    <col min="2" max="2" width="40.6363636363636" customWidth="1"/>
    <col min="3" max="3" width="9.36363636363636" customWidth="1"/>
    <col min="4" max="4" width="40.8181818181818" customWidth="1"/>
    <col min="5" max="5" width="9.54545454545454" customWidth="1"/>
    <col min="6" max="6" width="67.9090909090909" customWidth="1"/>
    <col min="7" max="7" width="10.8181818181818" customWidth="1"/>
    <col min="8" max="8" width="10.5454545454545" customWidth="1"/>
    <col min="9" max="9" width="17.0909090909091" customWidth="1"/>
    <col min="10" max="10" width="13.3636363636364" style="117" customWidth="1"/>
    <col min="11" max="11" width="9.90909090909091" customWidth="1"/>
    <col min="12" max="12" width="18.0909090909091" customWidth="1"/>
    <col min="13" max="13" width="20.2727272727273" customWidth="1"/>
    <col min="14" max="14" width="11.3636363636364" customWidth="1"/>
    <col min="15" max="15" width="9.81818181818182" customWidth="1"/>
    <col min="16" max="16" width="8" customWidth="1"/>
    <col min="17" max="17" width="12" style="320" customWidth="1"/>
    <col min="18" max="18" width="10.2727272727273" style="117" customWidth="1"/>
    <col min="19" max="19" width="14.7272727272727" customWidth="1"/>
    <col min="20" max="20" width="12.1818181818182" customWidth="1"/>
    <col min="21" max="21" width="12.2727272727273" customWidth="1"/>
    <col min="22" max="22" width="51.8181818181818" style="118" customWidth="1"/>
    <col min="23" max="23" width="59.3636363636364" customWidth="1"/>
    <col min="24" max="24" width="8" customWidth="1"/>
    <col min="25" max="25" width="9.36363636363636" customWidth="1"/>
    <col min="26" max="26" width="10" customWidth="1"/>
    <col min="27" max="27" width="9.54545454545454" customWidth="1"/>
    <col min="28" max="28" width="8" customWidth="1"/>
    <col min="29" max="29" width="12.6363636363636" customWidth="1"/>
    <col min="30" max="30" width="11.0909090909091" customWidth="1"/>
    <col min="31" max="31" width="11.4545454545455" customWidth="1"/>
    <col min="32" max="32" width="5.09090909090909" customWidth="1"/>
    <col min="33" max="33" width="6.90909090909091" customWidth="1"/>
  </cols>
  <sheetData>
    <row r="1" ht="13.75" customHeight="1" spans="1:33">
      <c r="A1" s="239" t="s">
        <v>144</v>
      </c>
      <c r="B1" s="137" t="s">
        <v>145</v>
      </c>
      <c r="C1" s="137" t="s">
        <v>146</v>
      </c>
      <c r="D1" s="240" t="s">
        <v>147</v>
      </c>
      <c r="E1" s="241" t="s">
        <v>148</v>
      </c>
      <c r="F1" s="241" t="s">
        <v>188</v>
      </c>
      <c r="G1" s="241" t="s">
        <v>149</v>
      </c>
      <c r="H1" s="241" t="s">
        <v>150</v>
      </c>
      <c r="I1" s="241" t="s">
        <v>189</v>
      </c>
      <c r="J1" s="321" t="s">
        <v>190</v>
      </c>
      <c r="K1" s="241" t="s">
        <v>191</v>
      </c>
      <c r="L1" s="240" t="s">
        <v>192</v>
      </c>
      <c r="M1" s="239" t="s">
        <v>193</v>
      </c>
      <c r="N1" s="242" t="s">
        <v>194</v>
      </c>
      <c r="O1" s="242" t="s">
        <v>195</v>
      </c>
      <c r="P1" s="242" t="s">
        <v>196</v>
      </c>
      <c r="Q1" s="322" t="s">
        <v>197</v>
      </c>
      <c r="R1" s="323" t="s">
        <v>198</v>
      </c>
      <c r="S1" s="240" t="s">
        <v>199</v>
      </c>
      <c r="T1" s="243" t="s">
        <v>156</v>
      </c>
      <c r="U1" s="245" t="s">
        <v>201</v>
      </c>
      <c r="V1" s="324" t="s">
        <v>200</v>
      </c>
      <c r="W1" s="325" t="s">
        <v>201</v>
      </c>
      <c r="X1" s="326" t="s">
        <v>82</v>
      </c>
      <c r="Y1" s="247" t="s">
        <v>83</v>
      </c>
      <c r="Z1" s="246" t="s">
        <v>84</v>
      </c>
      <c r="AA1" s="246" t="s">
        <v>85</v>
      </c>
      <c r="AB1" s="246" t="s">
        <v>86</v>
      </c>
      <c r="AC1" s="248" t="s">
        <v>87</v>
      </c>
      <c r="AD1" s="249" t="s">
        <v>564</v>
      </c>
      <c r="AE1" s="249" t="s">
        <v>565</v>
      </c>
      <c r="AF1" s="249" t="s">
        <v>566</v>
      </c>
      <c r="AG1" s="250" t="s">
        <v>567</v>
      </c>
    </row>
    <row r="2" ht="13.75" customHeight="1" spans="1:33">
      <c r="A2" s="251"/>
      <c r="B2" s="252"/>
      <c r="C2" s="253" t="s">
        <v>83</v>
      </c>
      <c r="D2" s="254" t="s">
        <v>84</v>
      </c>
      <c r="E2" s="254" t="s">
        <v>85</v>
      </c>
      <c r="F2" s="254"/>
      <c r="G2" s="254" t="s">
        <v>86</v>
      </c>
      <c r="H2" s="254" t="s">
        <v>87</v>
      </c>
      <c r="I2" s="327">
        <f>SUM(I3:I25)</f>
        <v>52356.58</v>
      </c>
      <c r="J2" s="328"/>
      <c r="K2" s="327"/>
      <c r="L2" s="327">
        <f>SUM(L3:L25)</f>
        <v>52356.58</v>
      </c>
      <c r="M2" s="327">
        <f>SUM(M3:M25)</f>
        <v>52356.58</v>
      </c>
      <c r="N2" s="327">
        <f>SUM(N3:N25)</f>
        <v>0</v>
      </c>
      <c r="O2" s="327">
        <f>SUM(O3:O25)</f>
        <v>0</v>
      </c>
      <c r="P2" s="327">
        <f>SUM(P3:P25)</f>
        <v>0</v>
      </c>
      <c r="Q2" s="329"/>
      <c r="R2" s="329"/>
      <c r="S2" s="329"/>
      <c r="T2" s="327">
        <f>SUM(T3:T25)</f>
        <v>60.9</v>
      </c>
      <c r="U2" s="330">
        <f>SUM(U3:U25)</f>
        <v>0</v>
      </c>
      <c r="V2" s="331"/>
      <c r="W2" s="332">
        <f t="shared" ref="W2:AC2" si="0">SUM(W3:W25)</f>
        <v>0</v>
      </c>
      <c r="X2" s="333">
        <f t="shared" si="0"/>
        <v>0</v>
      </c>
      <c r="Y2" s="334">
        <f t="shared" si="0"/>
        <v>0</v>
      </c>
      <c r="Z2" s="334">
        <f t="shared" si="0"/>
        <v>185.76</v>
      </c>
      <c r="AA2" s="334">
        <f t="shared" si="0"/>
        <v>0</v>
      </c>
      <c r="AB2" s="334">
        <f t="shared" si="0"/>
        <v>0</v>
      </c>
      <c r="AC2" s="335">
        <f t="shared" si="0"/>
        <v>26095</v>
      </c>
      <c r="AD2" s="336">
        <f>SUM(X2:AC2)+T2</f>
        <v>26341.66</v>
      </c>
      <c r="AE2" s="337" t="s">
        <v>140</v>
      </c>
    </row>
    <row r="3" customHeight="1" spans="1:33">
      <c r="A3" s="260"/>
      <c r="B3" s="263"/>
      <c r="C3" s="263"/>
      <c r="D3" s="263"/>
      <c r="E3" s="263"/>
      <c r="F3" s="264"/>
      <c r="G3" s="264"/>
      <c r="H3" s="263"/>
      <c r="I3" s="263"/>
      <c r="J3" s="338"/>
      <c r="K3" s="263"/>
      <c r="L3" s="263"/>
      <c r="M3" s="263"/>
      <c r="N3" s="263"/>
      <c r="O3" s="263"/>
      <c r="P3" s="263"/>
      <c r="Q3" s="339"/>
      <c r="R3" s="338"/>
      <c r="S3" s="263"/>
      <c r="T3" s="263"/>
      <c r="U3" s="261"/>
      <c r="V3" s="186"/>
      <c r="W3" s="268"/>
      <c r="X3" s="340" t="str">
        <f t="shared" ref="X3:X8" si="1">IF(S3="Accrual",M3,"")</f>
        <v/>
      </c>
      <c r="Y3" s="341" t="str">
        <f t="shared" ref="Y3:Y11" si="2">IF(S3="Receiving",M3,"")</f>
        <v/>
      </c>
      <c r="Z3" s="341" t="str">
        <f t="shared" ref="Z3:Z25" si="3">IF(S3="Received",M3,"")</f>
        <v/>
      </c>
      <c r="AA3" s="341" t="str">
        <f t="shared" ref="AA3:AA11" si="4">IF(S3="Approved",M3,"")</f>
        <v/>
      </c>
      <c r="AB3" s="341" t="str">
        <f t="shared" ref="AB3:AB11" si="5">IF(S3="Paying",M3,"")</f>
        <v/>
      </c>
      <c r="AC3" s="342" t="str">
        <f t="shared" ref="AC3:AC25" si="6">IF(S3="Completed",M3,"")</f>
        <v/>
      </c>
      <c r="AD3" s="343"/>
      <c r="AE3" s="22"/>
    </row>
    <row r="4" customHeight="1" spans="1:33">
      <c r="A4" s="267"/>
      <c r="B4" s="30"/>
      <c r="C4" s="30"/>
      <c r="D4" s="30"/>
      <c r="E4" s="30"/>
      <c r="F4" s="44"/>
      <c r="G4" s="44"/>
      <c r="H4" s="30"/>
      <c r="I4" s="30"/>
      <c r="J4" s="344"/>
      <c r="K4" s="30"/>
      <c r="L4" s="30"/>
      <c r="M4" s="30"/>
      <c r="N4" s="30"/>
      <c r="O4" s="30"/>
      <c r="P4" s="30"/>
      <c r="Q4" s="345"/>
      <c r="R4" s="344"/>
      <c r="S4" s="30"/>
      <c r="T4" s="30"/>
      <c r="U4" s="268"/>
      <c r="V4" s="186"/>
      <c r="W4" s="268"/>
      <c r="X4" s="340" t="str">
        <f t="shared" si="1"/>
        <v/>
      </c>
      <c r="Y4" s="341" t="str">
        <f t="shared" si="2"/>
        <v/>
      </c>
      <c r="Z4" s="341" t="str">
        <f t="shared" si="3"/>
        <v/>
      </c>
      <c r="AA4" s="341" t="str">
        <f t="shared" si="4"/>
        <v/>
      </c>
      <c r="AB4" s="341" t="str">
        <f t="shared" si="5"/>
        <v/>
      </c>
      <c r="AC4" s="342" t="str">
        <f t="shared" si="6"/>
        <v/>
      </c>
      <c r="AD4" s="346"/>
      <c r="AE4" s="266"/>
    </row>
    <row r="5" ht="14" customHeight="1" spans="1:33">
      <c r="A5" s="270"/>
      <c r="B5" s="212"/>
      <c r="C5" s="212"/>
      <c r="D5" s="212"/>
      <c r="E5" s="212"/>
      <c r="F5" s="273"/>
      <c r="G5" s="273"/>
      <c r="H5" s="274"/>
      <c r="I5" s="275"/>
      <c r="J5" s="192"/>
      <c r="K5" s="188"/>
      <c r="L5" s="161"/>
      <c r="M5" s="161"/>
      <c r="N5" s="277"/>
      <c r="O5" s="277"/>
      <c r="P5" s="277"/>
      <c r="Q5" s="347"/>
      <c r="R5" s="344"/>
      <c r="S5" s="279"/>
      <c r="T5" s="30"/>
      <c r="U5" s="268"/>
      <c r="V5" s="186"/>
      <c r="W5" s="268"/>
      <c r="X5" s="340" t="str">
        <f t="shared" si="1"/>
        <v/>
      </c>
      <c r="Y5" s="341" t="str">
        <f t="shared" si="2"/>
        <v/>
      </c>
      <c r="Z5" s="341" t="str">
        <f t="shared" si="3"/>
        <v/>
      </c>
      <c r="AA5" s="341" t="str">
        <f t="shared" si="4"/>
        <v/>
      </c>
      <c r="AB5" s="341" t="str">
        <f t="shared" si="5"/>
        <v/>
      </c>
      <c r="AC5" s="342" t="str">
        <f t="shared" si="6"/>
        <v/>
      </c>
      <c r="AD5" s="346"/>
      <c r="AE5" s="266"/>
      <c r="AG5" s="348"/>
    </row>
    <row r="6" ht="14" customHeight="1" spans="1:33">
      <c r="A6" s="270"/>
      <c r="B6" s="160"/>
      <c r="C6" s="349"/>
      <c r="D6" s="160"/>
      <c r="E6" s="188"/>
      <c r="F6" s="275"/>
      <c r="G6" s="275"/>
      <c r="H6" s="274"/>
      <c r="I6" s="275"/>
      <c r="J6" s="192"/>
      <c r="K6" s="188"/>
      <c r="L6" s="161"/>
      <c r="M6" s="161"/>
      <c r="N6" s="277"/>
      <c r="O6" s="277"/>
      <c r="P6" s="277"/>
      <c r="Q6" s="350"/>
      <c r="R6" s="192"/>
      <c r="S6" s="279"/>
      <c r="T6" s="284"/>
      <c r="U6" s="351"/>
      <c r="V6" s="186"/>
      <c r="W6" s="352"/>
      <c r="X6" s="340" t="str">
        <f t="shared" si="1"/>
        <v/>
      </c>
      <c r="Y6" s="341" t="str">
        <f t="shared" si="2"/>
        <v/>
      </c>
      <c r="Z6" s="341" t="str">
        <f t="shared" si="3"/>
        <v/>
      </c>
      <c r="AA6" s="341" t="str">
        <f t="shared" si="4"/>
        <v/>
      </c>
      <c r="AB6" s="341" t="str">
        <f t="shared" si="5"/>
        <v/>
      </c>
      <c r="AC6" s="342" t="str">
        <f t="shared" si="6"/>
        <v/>
      </c>
      <c r="AD6" s="346"/>
      <c r="AE6" s="266"/>
    </row>
    <row r="7" customHeight="1" spans="1:33">
      <c r="A7" s="270"/>
      <c r="B7" s="212"/>
      <c r="C7" s="212"/>
      <c r="D7" s="212"/>
      <c r="E7" s="212"/>
      <c r="F7" s="273"/>
      <c r="G7" s="273"/>
      <c r="H7" s="217"/>
      <c r="I7" s="273"/>
      <c r="J7" s="192"/>
      <c r="K7" s="192"/>
      <c r="L7" s="273"/>
      <c r="M7" s="273"/>
      <c r="N7" s="287"/>
      <c r="O7" s="287"/>
      <c r="P7" s="287"/>
      <c r="Q7" s="347"/>
      <c r="R7" s="192"/>
      <c r="S7" s="279"/>
      <c r="T7" s="212"/>
      <c r="U7" s="353"/>
      <c r="V7" s="272"/>
      <c r="W7" s="271"/>
      <c r="X7" s="340" t="str">
        <f t="shared" si="1"/>
        <v/>
      </c>
      <c r="Y7" s="341" t="str">
        <f t="shared" si="2"/>
        <v/>
      </c>
      <c r="Z7" s="341" t="str">
        <f t="shared" si="3"/>
        <v/>
      </c>
      <c r="AA7" s="341" t="str">
        <f t="shared" si="4"/>
        <v/>
      </c>
      <c r="AB7" s="341" t="str">
        <f t="shared" si="5"/>
        <v/>
      </c>
      <c r="AC7" s="342" t="str">
        <f t="shared" si="6"/>
        <v/>
      </c>
      <c r="AD7" s="346"/>
      <c r="AE7" s="266"/>
    </row>
    <row r="8" customHeight="1" spans="1:33">
      <c r="A8" s="270"/>
      <c r="B8" s="212"/>
      <c r="C8" s="212"/>
      <c r="D8" s="212"/>
      <c r="E8" s="212"/>
      <c r="F8" s="273"/>
      <c r="G8" s="273"/>
      <c r="H8" s="217"/>
      <c r="I8" s="273"/>
      <c r="J8" s="192"/>
      <c r="K8" s="192"/>
      <c r="L8" s="273"/>
      <c r="M8" s="273"/>
      <c r="N8" s="287"/>
      <c r="O8" s="287"/>
      <c r="P8" s="287"/>
      <c r="Q8" s="347"/>
      <c r="R8" s="192"/>
      <c r="S8" s="279"/>
      <c r="T8" s="212"/>
      <c r="U8" s="353"/>
      <c r="V8" s="354"/>
      <c r="W8" s="271"/>
      <c r="X8" s="340" t="str">
        <f t="shared" si="1"/>
        <v/>
      </c>
      <c r="Y8" s="341" t="str">
        <f t="shared" si="2"/>
        <v/>
      </c>
      <c r="Z8" s="341" t="str">
        <f t="shared" si="3"/>
        <v/>
      </c>
      <c r="AA8" s="341" t="str">
        <f t="shared" si="4"/>
        <v/>
      </c>
      <c r="AB8" s="341" t="str">
        <f t="shared" si="5"/>
        <v/>
      </c>
      <c r="AC8" s="342" t="str">
        <f t="shared" si="6"/>
        <v/>
      </c>
      <c r="AD8" s="346"/>
      <c r="AE8" s="266"/>
    </row>
    <row r="9" customHeight="1" spans="1:33">
      <c r="A9" s="270"/>
      <c r="B9" s="212"/>
      <c r="C9" s="212"/>
      <c r="D9" s="212"/>
      <c r="E9" s="212"/>
      <c r="F9" s="273"/>
      <c r="G9" s="273"/>
      <c r="H9" s="217"/>
      <c r="I9" s="273"/>
      <c r="J9" s="192"/>
      <c r="K9" s="192"/>
      <c r="L9" s="273"/>
      <c r="M9" s="273"/>
      <c r="N9" s="287"/>
      <c r="O9" s="287"/>
      <c r="P9" s="287"/>
      <c r="Q9" s="347"/>
      <c r="R9" s="192"/>
      <c r="S9" s="279"/>
      <c r="T9" s="212"/>
      <c r="U9" s="353"/>
      <c r="V9" s="355"/>
      <c r="W9" s="271"/>
      <c r="X9" s="356" t="str">
        <f t="shared" ref="X9:X15" si="7">IF(S9="Accrual",M9,"")</f>
        <v/>
      </c>
      <c r="Y9" s="341" t="str">
        <f t="shared" si="2"/>
        <v/>
      </c>
      <c r="Z9" s="341" t="str">
        <f t="shared" si="3"/>
        <v/>
      </c>
      <c r="AA9" s="341" t="str">
        <f t="shared" si="4"/>
        <v/>
      </c>
      <c r="AB9" s="341" t="str">
        <f t="shared" si="5"/>
        <v/>
      </c>
      <c r="AC9" s="342" t="str">
        <f t="shared" si="6"/>
        <v/>
      </c>
      <c r="AD9" s="346"/>
      <c r="AE9" s="266"/>
    </row>
    <row r="10" customHeight="1" spans="1:33">
      <c r="A10" s="270"/>
      <c r="B10" s="212"/>
      <c r="C10" s="212"/>
      <c r="D10" s="212"/>
      <c r="E10" s="212"/>
      <c r="F10" s="273"/>
      <c r="G10" s="273"/>
      <c r="H10" s="217"/>
      <c r="I10" s="273"/>
      <c r="J10" s="192"/>
      <c r="K10" s="192"/>
      <c r="L10" s="273"/>
      <c r="M10" s="273"/>
      <c r="N10" s="287"/>
      <c r="O10" s="287"/>
      <c r="P10" s="287"/>
      <c r="Q10" s="347"/>
      <c r="R10" s="192"/>
      <c r="S10" s="188"/>
      <c r="T10" s="212"/>
      <c r="U10" s="357"/>
      <c r="V10" s="358"/>
      <c r="W10" s="293"/>
      <c r="X10" s="356" t="str">
        <f t="shared" si="7"/>
        <v/>
      </c>
      <c r="Y10" s="341" t="str">
        <f t="shared" si="2"/>
        <v/>
      </c>
      <c r="Z10" s="341" t="str">
        <f t="shared" si="3"/>
        <v/>
      </c>
      <c r="AA10" s="341" t="str">
        <f t="shared" si="4"/>
        <v/>
      </c>
      <c r="AB10" s="341" t="str">
        <f t="shared" si="5"/>
        <v/>
      </c>
      <c r="AC10" s="342" t="str">
        <f t="shared" si="6"/>
        <v/>
      </c>
      <c r="AD10" s="359"/>
      <c r="AE10" s="360"/>
    </row>
    <row r="11" customHeight="1" spans="1:33">
      <c r="A11" s="361"/>
      <c r="B11" s="362"/>
      <c r="C11" s="362"/>
      <c r="D11" s="362"/>
      <c r="E11" s="362"/>
      <c r="F11" s="363"/>
      <c r="G11" s="363"/>
      <c r="H11" s="364"/>
      <c r="I11" s="363"/>
      <c r="J11" s="365"/>
      <c r="K11" s="365"/>
      <c r="L11" s="363"/>
      <c r="M11" s="363"/>
      <c r="N11" s="366"/>
      <c r="O11" s="366"/>
      <c r="P11" s="366"/>
      <c r="Q11" s="367"/>
      <c r="R11" s="365"/>
      <c r="S11" s="368"/>
      <c r="T11" s="362"/>
      <c r="U11" s="369"/>
      <c r="V11" s="370"/>
      <c r="W11" s="371"/>
      <c r="X11" s="356" t="str">
        <f t="shared" si="7"/>
        <v/>
      </c>
      <c r="Y11" s="372" t="str">
        <f t="shared" si="2"/>
        <v/>
      </c>
      <c r="Z11" s="372" t="str">
        <f t="shared" si="3"/>
        <v/>
      </c>
      <c r="AA11" s="372" t="str">
        <f t="shared" si="4"/>
        <v/>
      </c>
      <c r="AB11" s="372" t="str">
        <f t="shared" si="5"/>
        <v/>
      </c>
      <c r="AC11" s="373" t="str">
        <f t="shared" si="6"/>
        <v/>
      </c>
      <c r="AD11" s="374"/>
      <c r="AE11" s="360"/>
    </row>
    <row r="12" ht="14.5" spans="1:33">
      <c r="A12" s="375">
        <v>46286</v>
      </c>
      <c r="B12" s="362" t="s">
        <v>219</v>
      </c>
      <c r="C12" s="368"/>
      <c r="D12" s="362" t="s">
        <v>220</v>
      </c>
      <c r="E12" s="368"/>
      <c r="F12" s="376" t="s">
        <v>608</v>
      </c>
      <c r="G12" s="377">
        <v>300</v>
      </c>
      <c r="H12" s="378">
        <v>1</v>
      </c>
      <c r="I12" s="363">
        <f t="shared" ref="I12:I15" si="8">G12*H12</f>
        <v>300</v>
      </c>
      <c r="J12" s="365">
        <v>9000005</v>
      </c>
      <c r="K12" s="379"/>
      <c r="L12" s="363">
        <f t="shared" ref="L12:L15" si="9">I12</f>
        <v>300</v>
      </c>
      <c r="M12" s="363">
        <f t="shared" ref="M12:M15" si="10">L12</f>
        <v>300</v>
      </c>
      <c r="N12" s="362"/>
      <c r="O12" s="362"/>
      <c r="P12" s="362"/>
      <c r="Q12" s="379">
        <v>46285</v>
      </c>
      <c r="R12" s="379"/>
      <c r="S12" s="368" t="s">
        <v>87</v>
      </c>
      <c r="T12" s="377"/>
      <c r="U12" s="380"/>
      <c r="V12" s="381" t="s">
        <v>609</v>
      </c>
      <c r="W12" s="382" t="s">
        <v>610</v>
      </c>
      <c r="X12" s="356" t="str">
        <f t="shared" si="7"/>
        <v/>
      </c>
      <c r="Y12" s="383"/>
      <c r="Z12" s="372" t="str">
        <f t="shared" si="3"/>
        <v/>
      </c>
      <c r="AA12" s="384"/>
      <c r="AB12" s="384"/>
      <c r="AC12" s="385">
        <f t="shared" si="6"/>
        <v>300</v>
      </c>
      <c r="AD12" s="374">
        <f>IF(OR(AE12="船东付",AE12="待收"),0,M12)</f>
        <v>0</v>
      </c>
      <c r="AE12" s="386" t="s">
        <v>566</v>
      </c>
      <c r="AF12" s="387"/>
      <c r="AG12" s="387"/>
    </row>
    <row r="13" ht="15" customHeight="1" spans="1:33">
      <c r="A13" s="375">
        <v>46286</v>
      </c>
      <c r="B13" s="362" t="s">
        <v>221</v>
      </c>
      <c r="C13" s="368"/>
      <c r="D13" s="362" t="s">
        <v>220</v>
      </c>
      <c r="E13" s="368"/>
      <c r="F13" s="376" t="s">
        <v>611</v>
      </c>
      <c r="G13" s="377">
        <v>1050</v>
      </c>
      <c r="H13" s="378">
        <v>1</v>
      </c>
      <c r="I13" s="363">
        <f t="shared" si="8"/>
        <v>1050</v>
      </c>
      <c r="J13" s="365">
        <v>9000005</v>
      </c>
      <c r="K13" s="379"/>
      <c r="L13" s="363">
        <f t="shared" si="9"/>
        <v>1050</v>
      </c>
      <c r="M13" s="363">
        <f t="shared" si="10"/>
        <v>1050</v>
      </c>
      <c r="N13" s="362"/>
      <c r="O13" s="362"/>
      <c r="P13" s="362"/>
      <c r="Q13" s="379">
        <v>46183</v>
      </c>
      <c r="R13" s="379">
        <v>46254</v>
      </c>
      <c r="S13" s="368" t="s">
        <v>87</v>
      </c>
      <c r="T13" s="377">
        <v>20</v>
      </c>
      <c r="U13" s="380"/>
      <c r="V13" s="388" t="s">
        <v>612</v>
      </c>
      <c r="W13" s="382" t="s">
        <v>613</v>
      </c>
      <c r="X13" s="356" t="str">
        <f t="shared" si="7"/>
        <v/>
      </c>
      <c r="Y13" s="383"/>
      <c r="Z13" s="372" t="str">
        <f t="shared" si="3"/>
        <v/>
      </c>
      <c r="AA13" s="384"/>
      <c r="AB13" s="384"/>
      <c r="AC13" s="385">
        <f t="shared" si="6"/>
        <v>1050</v>
      </c>
      <c r="AD13" s="374">
        <f>IF(OR(AE13="船东付",AE13="待收"),0,M13)</f>
        <v>0</v>
      </c>
      <c r="AE13" s="386" t="s">
        <v>566</v>
      </c>
      <c r="AF13" s="387"/>
      <c r="AG13" s="387"/>
    </row>
    <row r="14" customHeight="1" spans="1:33">
      <c r="A14" s="389">
        <v>46269</v>
      </c>
      <c r="B14" s="362" t="s">
        <v>246</v>
      </c>
      <c r="C14" s="368"/>
      <c r="D14" s="362" t="s">
        <v>206</v>
      </c>
      <c r="E14" s="368"/>
      <c r="F14" s="377"/>
      <c r="G14" s="377">
        <v>2565</v>
      </c>
      <c r="H14" s="378">
        <v>1</v>
      </c>
      <c r="I14" s="363">
        <f t="shared" si="8"/>
        <v>2565</v>
      </c>
      <c r="J14" s="365">
        <v>9000000</v>
      </c>
      <c r="K14" s="379"/>
      <c r="L14" s="363">
        <f t="shared" si="9"/>
        <v>2565</v>
      </c>
      <c r="M14" s="363">
        <f t="shared" si="10"/>
        <v>2565</v>
      </c>
      <c r="N14" s="362"/>
      <c r="O14" s="362"/>
      <c r="P14" s="362"/>
      <c r="Q14" s="379"/>
      <c r="R14" s="379"/>
      <c r="S14" s="368" t="s">
        <v>87</v>
      </c>
      <c r="T14" s="377"/>
      <c r="U14" s="380"/>
      <c r="V14" s="390" t="s">
        <v>576</v>
      </c>
      <c r="W14" s="391" t="s">
        <v>614</v>
      </c>
      <c r="X14" s="356" t="str">
        <f t="shared" si="7"/>
        <v/>
      </c>
      <c r="Y14" s="392"/>
      <c r="Z14" s="372" t="str">
        <f t="shared" si="3"/>
        <v/>
      </c>
      <c r="AA14" s="384"/>
      <c r="AB14" s="384" t="str">
        <f>IF(S14="Paying",M14,"")</f>
        <v/>
      </c>
      <c r="AC14" s="373">
        <f t="shared" si="6"/>
        <v>2565</v>
      </c>
      <c r="AD14" s="374">
        <f>IF(OR(AE14="船东付",AE14="待收"),0,M14)</f>
        <v>2565</v>
      </c>
      <c r="AE14" s="386" t="s">
        <v>564</v>
      </c>
      <c r="AF14" s="387"/>
      <c r="AG14" s="387"/>
    </row>
    <row r="15" ht="14.5" spans="1:33">
      <c r="A15" s="389">
        <v>46266</v>
      </c>
      <c r="B15" s="362" t="s">
        <v>257</v>
      </c>
      <c r="C15" s="366"/>
      <c r="D15" s="393" t="s">
        <v>79</v>
      </c>
      <c r="E15" s="362"/>
      <c r="F15" s="362"/>
      <c r="G15" s="363">
        <v>375</v>
      </c>
      <c r="H15" s="378">
        <v>1</v>
      </c>
      <c r="I15" s="363">
        <f t="shared" si="8"/>
        <v>375</v>
      </c>
      <c r="J15" s="365">
        <v>6000011</v>
      </c>
      <c r="K15" s="379">
        <f>A15</f>
        <v>46266</v>
      </c>
      <c r="L15" s="363">
        <f t="shared" si="9"/>
        <v>375</v>
      </c>
      <c r="M15" s="363">
        <f t="shared" si="10"/>
        <v>375</v>
      </c>
      <c r="N15" s="362"/>
      <c r="O15" s="362"/>
      <c r="P15" s="362"/>
      <c r="Q15" s="379"/>
      <c r="R15" s="379"/>
      <c r="S15" s="394" t="s">
        <v>87</v>
      </c>
      <c r="T15" s="395"/>
      <c r="U15" s="380"/>
      <c r="V15" s="381"/>
      <c r="W15" s="369" t="s">
        <v>615</v>
      </c>
      <c r="X15" s="356" t="str">
        <f t="shared" si="7"/>
        <v/>
      </c>
      <c r="Y15" s="396" t="str">
        <f>IF(S15="Received",M15,"")</f>
        <v/>
      </c>
      <c r="Z15" s="372" t="str">
        <f t="shared" si="3"/>
        <v/>
      </c>
      <c r="AA15" s="384" t="str">
        <f>IF(S15="Paying",M15,"")</f>
        <v/>
      </c>
      <c r="AB15" s="384" t="str">
        <f>IF(S15="Paying",M15,"")</f>
        <v/>
      </c>
      <c r="AC15" s="373">
        <f t="shared" si="6"/>
        <v>375</v>
      </c>
      <c r="AD15" s="387"/>
      <c r="AE15" s="386" t="s">
        <v>566</v>
      </c>
      <c r="AF15" s="387"/>
      <c r="AG15" s="387"/>
    </row>
    <row r="16" ht="14" customHeight="1" spans="1:33">
      <c r="A16" s="367">
        <v>46247</v>
      </c>
      <c r="B16" s="397" t="s">
        <v>371</v>
      </c>
      <c r="C16" s="398"/>
      <c r="D16" s="397" t="s">
        <v>372</v>
      </c>
      <c r="E16" s="398"/>
      <c r="F16" s="377"/>
      <c r="G16" s="377">
        <v>185.76</v>
      </c>
      <c r="H16" s="399">
        <v>1</v>
      </c>
      <c r="I16" s="377">
        <f t="shared" ref="I16:I25" si="11">G16*H16</f>
        <v>185.76</v>
      </c>
      <c r="J16" s="368">
        <v>2000007</v>
      </c>
      <c r="K16" s="368"/>
      <c r="L16" s="400">
        <f t="shared" ref="L16:L25" si="12">I16</f>
        <v>185.76</v>
      </c>
      <c r="M16" s="400">
        <f t="shared" ref="M16:M25" si="13">L16</f>
        <v>185.76</v>
      </c>
      <c r="N16" s="401"/>
      <c r="O16" s="401"/>
      <c r="P16" s="401"/>
      <c r="Q16" s="367"/>
      <c r="R16" s="402"/>
      <c r="S16" s="368" t="s">
        <v>84</v>
      </c>
      <c r="T16" s="403"/>
      <c r="U16" s="391"/>
      <c r="V16" s="404"/>
      <c r="W16" s="405" t="s">
        <v>616</v>
      </c>
      <c r="X16" s="356" t="str">
        <f t="shared" ref="X16:X25" si="14">IF(S16="Accrual",M16,"")</f>
        <v/>
      </c>
      <c r="Y16" s="384" t="str">
        <f t="shared" ref="Y16:Y25" si="15">IF(S16="Receiving",M16,"")</f>
        <v/>
      </c>
      <c r="Z16" s="372">
        <f t="shared" si="3"/>
        <v>185.76</v>
      </c>
      <c r="AA16" s="384" t="str">
        <f t="shared" ref="AA16:AA25" si="16">IF(S16="Approved",M16,"")</f>
        <v/>
      </c>
      <c r="AB16" s="384" t="str">
        <f t="shared" ref="AB16:AB25" si="17">IF(S16="Paying",M16,"")</f>
        <v/>
      </c>
      <c r="AC16" s="373" t="str">
        <f t="shared" si="6"/>
        <v/>
      </c>
      <c r="AD16" s="374">
        <f t="shared" ref="AD16:AD25" si="18">IF(OR(AE16="船东付",AE16="待收"),0,M16)</f>
        <v>185.76</v>
      </c>
      <c r="AE16" s="386" t="s">
        <v>564</v>
      </c>
      <c r="AF16" s="387"/>
      <c r="AG16" s="387"/>
    </row>
    <row r="17" customHeight="1" spans="1:33">
      <c r="A17" s="361">
        <v>46241</v>
      </c>
      <c r="B17" s="397" t="s">
        <v>373</v>
      </c>
      <c r="C17" s="398"/>
      <c r="D17" s="397" t="s">
        <v>359</v>
      </c>
      <c r="E17" s="398"/>
      <c r="F17" s="377"/>
      <c r="G17" s="377">
        <v>10225</v>
      </c>
      <c r="H17" s="399">
        <v>1</v>
      </c>
      <c r="I17" s="377">
        <f t="shared" si="11"/>
        <v>10225</v>
      </c>
      <c r="J17" s="365">
        <v>4000010</v>
      </c>
      <c r="K17" s="368"/>
      <c r="L17" s="400">
        <f t="shared" si="12"/>
        <v>10225</v>
      </c>
      <c r="M17" s="400">
        <f t="shared" si="13"/>
        <v>10225</v>
      </c>
      <c r="N17" s="401"/>
      <c r="O17" s="401"/>
      <c r="P17" s="401"/>
      <c r="Q17" s="406"/>
      <c r="R17" s="402"/>
      <c r="S17" s="368" t="s">
        <v>87</v>
      </c>
      <c r="T17" s="403">
        <v>40.9</v>
      </c>
      <c r="U17" s="391"/>
      <c r="V17" s="407" t="s">
        <v>617</v>
      </c>
      <c r="W17" s="408" t="s">
        <v>618</v>
      </c>
      <c r="X17" s="409" t="str">
        <f t="shared" si="14"/>
        <v/>
      </c>
      <c r="Y17" s="372" t="str">
        <f t="shared" si="15"/>
        <v/>
      </c>
      <c r="Z17" s="372" t="str">
        <f t="shared" si="3"/>
        <v/>
      </c>
      <c r="AA17" s="372" t="str">
        <f t="shared" si="16"/>
        <v/>
      </c>
      <c r="AB17" s="372" t="str">
        <f t="shared" si="17"/>
        <v/>
      </c>
      <c r="AC17" s="373">
        <f t="shared" si="6"/>
        <v>10225</v>
      </c>
      <c r="AD17" s="374">
        <f t="shared" si="18"/>
        <v>10225</v>
      </c>
      <c r="AE17" s="386" t="s">
        <v>564</v>
      </c>
      <c r="AF17" s="410"/>
      <c r="AG17" s="387"/>
    </row>
    <row r="18" ht="14.5" customHeight="1" spans="1:33">
      <c r="A18" s="411">
        <v>46238</v>
      </c>
      <c r="B18" s="412" t="s">
        <v>380</v>
      </c>
      <c r="C18" s="365"/>
      <c r="D18" s="393" t="s">
        <v>79</v>
      </c>
      <c r="E18" s="413"/>
      <c r="F18" s="363"/>
      <c r="G18" s="363">
        <v>200</v>
      </c>
      <c r="H18" s="364">
        <v>1</v>
      </c>
      <c r="I18" s="400">
        <f t="shared" si="11"/>
        <v>200</v>
      </c>
      <c r="J18" s="365">
        <v>9990001</v>
      </c>
      <c r="K18" s="379">
        <v>46238</v>
      </c>
      <c r="L18" s="400">
        <f t="shared" si="12"/>
        <v>200</v>
      </c>
      <c r="M18" s="400">
        <f t="shared" si="13"/>
        <v>200</v>
      </c>
      <c r="N18" s="365"/>
      <c r="O18" s="413"/>
      <c r="P18" s="414"/>
      <c r="Q18" s="415"/>
      <c r="R18" s="415"/>
      <c r="S18" s="416" t="s">
        <v>87</v>
      </c>
      <c r="T18" s="413"/>
      <c r="U18" s="417"/>
      <c r="V18" s="418"/>
      <c r="W18" s="417" t="s">
        <v>619</v>
      </c>
      <c r="X18" s="409" t="str">
        <f t="shared" si="14"/>
        <v/>
      </c>
      <c r="Y18" s="372" t="str">
        <f t="shared" si="15"/>
        <v/>
      </c>
      <c r="Z18" s="372" t="str">
        <f t="shared" si="3"/>
        <v/>
      </c>
      <c r="AA18" s="372" t="str">
        <f t="shared" si="16"/>
        <v/>
      </c>
      <c r="AB18" s="372" t="str">
        <f t="shared" si="17"/>
        <v/>
      </c>
      <c r="AC18" s="373">
        <f t="shared" si="6"/>
        <v>200</v>
      </c>
      <c r="AD18" s="374">
        <f t="shared" si="18"/>
        <v>200</v>
      </c>
      <c r="AE18" s="386" t="s">
        <v>564</v>
      </c>
      <c r="AF18" s="387"/>
      <c r="AG18" s="387"/>
    </row>
    <row r="19" customHeight="1" spans="1:33">
      <c r="A19" s="361">
        <v>46238</v>
      </c>
      <c r="B19" s="397" t="s">
        <v>377</v>
      </c>
      <c r="C19" s="398"/>
      <c r="D19" s="397" t="s">
        <v>378</v>
      </c>
      <c r="E19" s="398"/>
      <c r="F19" s="377"/>
      <c r="G19" s="377">
        <v>10769.64</v>
      </c>
      <c r="H19" s="399">
        <v>1</v>
      </c>
      <c r="I19" s="377">
        <f t="shared" si="11"/>
        <v>10769.64</v>
      </c>
      <c r="J19" s="365">
        <v>9000000</v>
      </c>
      <c r="K19" s="368"/>
      <c r="L19" s="400">
        <f t="shared" si="12"/>
        <v>10769.64</v>
      </c>
      <c r="M19" s="400">
        <f t="shared" si="13"/>
        <v>10769.64</v>
      </c>
      <c r="N19" s="401"/>
      <c r="O19" s="401"/>
      <c r="P19" s="401"/>
      <c r="Q19" s="367"/>
      <c r="R19" s="365"/>
      <c r="S19" s="368"/>
      <c r="T19" s="403"/>
      <c r="U19" s="391"/>
      <c r="V19" s="418"/>
      <c r="W19" s="419"/>
      <c r="X19" s="409" t="str">
        <f t="shared" si="14"/>
        <v/>
      </c>
      <c r="Y19" s="372" t="str">
        <f t="shared" si="15"/>
        <v/>
      </c>
      <c r="Z19" s="372" t="str">
        <f t="shared" si="3"/>
        <v/>
      </c>
      <c r="AA19" s="372" t="str">
        <f t="shared" si="16"/>
        <v/>
      </c>
      <c r="AB19" s="372" t="str">
        <f t="shared" si="17"/>
        <v/>
      </c>
      <c r="AC19" s="373" t="str">
        <f t="shared" si="6"/>
        <v/>
      </c>
      <c r="AD19" s="374">
        <f t="shared" si="18"/>
        <v>0</v>
      </c>
      <c r="AE19" s="386" t="s">
        <v>567</v>
      </c>
      <c r="AF19" s="387"/>
      <c r="AG19" s="387"/>
    </row>
    <row r="20" ht="14.5" customHeight="1" spans="1:33">
      <c r="A20" s="411">
        <v>46235</v>
      </c>
      <c r="B20" s="412" t="s">
        <v>382</v>
      </c>
      <c r="C20" s="365"/>
      <c r="D20" s="393" t="s">
        <v>79</v>
      </c>
      <c r="E20" s="413"/>
      <c r="F20" s="363"/>
      <c r="G20" s="363">
        <v>9230</v>
      </c>
      <c r="H20" s="364">
        <v>1</v>
      </c>
      <c r="I20" s="400">
        <f t="shared" si="11"/>
        <v>9230</v>
      </c>
      <c r="J20" s="365">
        <v>9990001</v>
      </c>
      <c r="K20" s="379">
        <v>46236</v>
      </c>
      <c r="L20" s="400">
        <f t="shared" si="12"/>
        <v>9230</v>
      </c>
      <c r="M20" s="400">
        <f t="shared" si="13"/>
        <v>9230</v>
      </c>
      <c r="N20" s="365"/>
      <c r="O20" s="413"/>
      <c r="P20" s="413"/>
      <c r="Q20" s="415"/>
      <c r="R20" s="415"/>
      <c r="S20" s="416" t="s">
        <v>87</v>
      </c>
      <c r="T20" s="413"/>
      <c r="U20" s="420"/>
      <c r="V20" s="418"/>
      <c r="W20" s="421" t="s">
        <v>620</v>
      </c>
      <c r="X20" s="409" t="str">
        <f t="shared" si="14"/>
        <v/>
      </c>
      <c r="Y20" s="372" t="str">
        <f t="shared" si="15"/>
        <v/>
      </c>
      <c r="Z20" s="372" t="str">
        <f t="shared" si="3"/>
        <v/>
      </c>
      <c r="AA20" s="372" t="str">
        <f t="shared" si="16"/>
        <v/>
      </c>
      <c r="AB20" s="372" t="str">
        <f t="shared" si="17"/>
        <v/>
      </c>
      <c r="AC20" s="373">
        <f t="shared" si="6"/>
        <v>9230</v>
      </c>
      <c r="AD20" s="374">
        <f t="shared" si="18"/>
        <v>9230</v>
      </c>
      <c r="AE20" s="386" t="s">
        <v>564</v>
      </c>
      <c r="AF20" s="387"/>
      <c r="AG20" s="387"/>
    </row>
    <row r="21" customHeight="1" spans="1:33">
      <c r="A21" s="361">
        <v>46234</v>
      </c>
      <c r="B21" s="422" t="s">
        <v>385</v>
      </c>
      <c r="C21" s="362"/>
      <c r="D21" s="397" t="s">
        <v>386</v>
      </c>
      <c r="E21" s="397"/>
      <c r="F21" s="377"/>
      <c r="G21" s="377">
        <v>1435</v>
      </c>
      <c r="H21" s="399">
        <v>1</v>
      </c>
      <c r="I21" s="377">
        <f t="shared" si="11"/>
        <v>1435</v>
      </c>
      <c r="J21" s="423">
        <v>9000000</v>
      </c>
      <c r="K21" s="368"/>
      <c r="L21" s="400">
        <f t="shared" si="12"/>
        <v>1435</v>
      </c>
      <c r="M21" s="400">
        <f t="shared" si="13"/>
        <v>1435</v>
      </c>
      <c r="N21" s="401"/>
      <c r="O21" s="401"/>
      <c r="P21" s="401"/>
      <c r="Q21" s="367"/>
      <c r="R21" s="365"/>
      <c r="S21" s="368"/>
      <c r="T21" s="403"/>
      <c r="U21" s="391"/>
      <c r="V21" s="418"/>
      <c r="W21" s="419"/>
      <c r="X21" s="409" t="str">
        <f t="shared" si="14"/>
        <v/>
      </c>
      <c r="Y21" s="372" t="str">
        <f t="shared" si="15"/>
        <v/>
      </c>
      <c r="Z21" s="372" t="str">
        <f t="shared" si="3"/>
        <v/>
      </c>
      <c r="AA21" s="372" t="str">
        <f t="shared" si="16"/>
        <v/>
      </c>
      <c r="AB21" s="372" t="str">
        <f t="shared" si="17"/>
        <v/>
      </c>
      <c r="AC21" s="373" t="str">
        <f t="shared" si="6"/>
        <v/>
      </c>
      <c r="AD21" s="374">
        <f t="shared" si="18"/>
        <v>0</v>
      </c>
      <c r="AE21" s="386" t="s">
        <v>567</v>
      </c>
      <c r="AF21" s="387"/>
      <c r="AG21" s="387"/>
    </row>
    <row r="22" ht="14.5" customHeight="1" spans="1:33">
      <c r="A22" s="411">
        <v>46234</v>
      </c>
      <c r="B22" s="412" t="s">
        <v>383</v>
      </c>
      <c r="C22" s="365"/>
      <c r="D22" s="393" t="s">
        <v>79</v>
      </c>
      <c r="E22" s="413"/>
      <c r="F22" s="363"/>
      <c r="G22" s="363">
        <v>2150</v>
      </c>
      <c r="H22" s="424">
        <v>1</v>
      </c>
      <c r="I22" s="400">
        <f t="shared" si="11"/>
        <v>2150</v>
      </c>
      <c r="J22" s="365">
        <v>9990001</v>
      </c>
      <c r="K22" s="379">
        <v>46235</v>
      </c>
      <c r="L22" s="400">
        <f t="shared" si="12"/>
        <v>2150</v>
      </c>
      <c r="M22" s="400">
        <f t="shared" si="13"/>
        <v>2150</v>
      </c>
      <c r="N22" s="362"/>
      <c r="O22" s="414"/>
      <c r="P22" s="413"/>
      <c r="Q22" s="415"/>
      <c r="R22" s="415"/>
      <c r="S22" s="416" t="s">
        <v>87</v>
      </c>
      <c r="T22" s="413"/>
      <c r="U22" s="420"/>
      <c r="V22" s="418"/>
      <c r="W22" s="417" t="s">
        <v>621</v>
      </c>
      <c r="X22" s="409" t="str">
        <f t="shared" si="14"/>
        <v/>
      </c>
      <c r="Y22" s="372" t="str">
        <f t="shared" si="15"/>
        <v/>
      </c>
      <c r="Z22" s="372" t="str">
        <f t="shared" si="3"/>
        <v/>
      </c>
      <c r="AA22" s="372" t="str">
        <f t="shared" si="16"/>
        <v/>
      </c>
      <c r="AB22" s="372" t="str">
        <f t="shared" si="17"/>
        <v/>
      </c>
      <c r="AC22" s="373">
        <f t="shared" si="6"/>
        <v>2150</v>
      </c>
      <c r="AD22" s="374">
        <f t="shared" si="18"/>
        <v>2150</v>
      </c>
      <c r="AE22" s="386" t="s">
        <v>564</v>
      </c>
      <c r="AF22" s="387"/>
      <c r="AG22" s="387"/>
    </row>
    <row r="23" ht="14.5" spans="1:33">
      <c r="A23" s="361">
        <v>46232</v>
      </c>
      <c r="B23" s="422" t="s">
        <v>388</v>
      </c>
      <c r="C23" s="362"/>
      <c r="D23" s="397" t="s">
        <v>389</v>
      </c>
      <c r="E23" s="397"/>
      <c r="F23" s="377"/>
      <c r="G23" s="377">
        <v>6580</v>
      </c>
      <c r="H23" s="399">
        <v>1</v>
      </c>
      <c r="I23" s="377">
        <f t="shared" si="11"/>
        <v>6580</v>
      </c>
      <c r="J23" s="365">
        <v>9000000</v>
      </c>
      <c r="K23" s="368"/>
      <c r="L23" s="400">
        <f t="shared" si="12"/>
        <v>6580</v>
      </c>
      <c r="M23" s="400">
        <f t="shared" si="13"/>
        <v>6580</v>
      </c>
      <c r="N23" s="401"/>
      <c r="O23" s="401"/>
      <c r="P23" s="401"/>
      <c r="Q23" s="367"/>
      <c r="R23" s="365"/>
      <c r="S23" s="368"/>
      <c r="T23" s="403"/>
      <c r="U23" s="391"/>
      <c r="V23" s="418"/>
      <c r="W23" s="419"/>
      <c r="X23" s="409" t="str">
        <f t="shared" si="14"/>
        <v/>
      </c>
      <c r="Y23" s="372" t="str">
        <f t="shared" si="15"/>
        <v/>
      </c>
      <c r="Z23" s="372" t="str">
        <f t="shared" si="3"/>
        <v/>
      </c>
      <c r="AA23" s="372" t="str">
        <f t="shared" si="16"/>
        <v/>
      </c>
      <c r="AB23" s="372" t="str">
        <f t="shared" si="17"/>
        <v/>
      </c>
      <c r="AC23" s="373" t="str">
        <f t="shared" si="6"/>
        <v/>
      </c>
      <c r="AD23" s="374">
        <f t="shared" si="18"/>
        <v>0</v>
      </c>
      <c r="AE23" s="386" t="s">
        <v>567</v>
      </c>
      <c r="AF23" s="387"/>
      <c r="AG23" s="410"/>
    </row>
    <row r="24" ht="14.5" customHeight="1" spans="1:33">
      <c r="A24" s="425">
        <v>46231</v>
      </c>
      <c r="B24" s="426" t="s">
        <v>390</v>
      </c>
      <c r="C24" s="427"/>
      <c r="D24" s="428"/>
      <c r="E24" s="429"/>
      <c r="F24" s="430"/>
      <c r="G24" s="430">
        <v>441.18</v>
      </c>
      <c r="H24" s="431">
        <v>1</v>
      </c>
      <c r="I24" s="432">
        <f t="shared" si="11"/>
        <v>441.18</v>
      </c>
      <c r="J24" s="433">
        <v>6000002</v>
      </c>
      <c r="K24" s="434"/>
      <c r="L24" s="432">
        <f t="shared" si="12"/>
        <v>441.18</v>
      </c>
      <c r="M24" s="432">
        <f t="shared" si="13"/>
        <v>441.18</v>
      </c>
      <c r="N24" s="435"/>
      <c r="O24" s="436"/>
      <c r="P24" s="436"/>
      <c r="Q24" s="437"/>
      <c r="R24" s="437"/>
      <c r="S24" s="438"/>
      <c r="T24" s="439"/>
      <c r="U24" s="440"/>
      <c r="V24" s="441"/>
      <c r="W24" s="442" t="s">
        <v>622</v>
      </c>
      <c r="X24" s="443" t="str">
        <f t="shared" si="14"/>
        <v/>
      </c>
      <c r="Y24" s="444" t="str">
        <f t="shared" si="15"/>
        <v/>
      </c>
      <c r="Z24" s="444" t="str">
        <f t="shared" si="3"/>
        <v/>
      </c>
      <c r="AA24" s="444" t="str">
        <f t="shared" si="16"/>
        <v/>
      </c>
      <c r="AB24" s="444" t="str">
        <f t="shared" si="17"/>
        <v/>
      </c>
      <c r="AC24" s="445" t="str">
        <f t="shared" si="6"/>
        <v/>
      </c>
      <c r="AD24" s="374">
        <f t="shared" si="18"/>
        <v>441.18</v>
      </c>
      <c r="AE24" s="386" t="s">
        <v>564</v>
      </c>
      <c r="AF24" s="387"/>
      <c r="AG24" s="387"/>
    </row>
    <row r="25" ht="15.25" spans="1:33">
      <c r="A25" s="446">
        <v>46227</v>
      </c>
      <c r="B25" s="447" t="s">
        <v>392</v>
      </c>
      <c r="C25" s="448"/>
      <c r="D25" s="449"/>
      <c r="E25" s="449"/>
      <c r="F25" s="450"/>
      <c r="G25" s="450">
        <v>6850</v>
      </c>
      <c r="H25" s="451">
        <v>1</v>
      </c>
      <c r="I25" s="450">
        <f t="shared" si="11"/>
        <v>6850</v>
      </c>
      <c r="J25" s="452">
        <v>9000000</v>
      </c>
      <c r="K25" s="453"/>
      <c r="L25" s="454">
        <f t="shared" si="12"/>
        <v>6850</v>
      </c>
      <c r="M25" s="454">
        <f t="shared" si="13"/>
        <v>6850</v>
      </c>
      <c r="N25" s="455"/>
      <c r="O25" s="455"/>
      <c r="P25" s="455"/>
      <c r="Q25" s="456"/>
      <c r="R25" s="452"/>
      <c r="S25" s="453"/>
      <c r="T25" s="457"/>
      <c r="U25" s="458"/>
      <c r="V25" s="459"/>
      <c r="W25" s="460"/>
      <c r="X25" s="461" t="str">
        <f t="shared" si="14"/>
        <v/>
      </c>
      <c r="Y25" s="462" t="str">
        <f t="shared" si="15"/>
        <v/>
      </c>
      <c r="Z25" s="462" t="str">
        <f t="shared" si="3"/>
        <v/>
      </c>
      <c r="AA25" s="462" t="str">
        <f t="shared" si="16"/>
        <v/>
      </c>
      <c r="AB25" s="462" t="str">
        <f t="shared" si="17"/>
        <v/>
      </c>
      <c r="AC25" s="463" t="str">
        <f t="shared" si="6"/>
        <v/>
      </c>
      <c r="AD25" s="374">
        <f t="shared" si="18"/>
        <v>0</v>
      </c>
      <c r="AE25" s="464" t="s">
        <v>567</v>
      </c>
      <c r="AF25" s="387"/>
      <c r="AG25" s="387"/>
    </row>
    <row r="26" ht="12.5" spans="1:33">
      <c r="V26" s="465"/>
    </row>
    <row r="27" ht="12.5" spans="1:33">
      <c r="M27" s="319"/>
      <c r="V27" s="465"/>
    </row>
    <row r="28" ht="12.5" spans="1:33">
      <c r="V28" s="465"/>
      <c r="AA28" s="348"/>
    </row>
    <row r="29" ht="12.5" spans="1:33">
      <c r="I29" s="466"/>
      <c r="V29" s="465"/>
    </row>
    <row r="30" ht="12.5" spans="1:33">
      <c r="V30" s="465"/>
      <c r="AE30" s="466"/>
    </row>
    <row r="31" ht="12.5" spans="1:33">
      <c r="V31" s="465"/>
    </row>
    <row r="32" ht="12.5" spans="1:33">
      <c r="V32" s="465"/>
    </row>
    <row r="33" ht="12.5" spans="22:31">
      <c r="V33" s="465"/>
      <c r="AE33" s="466">
        <f>155000+AE30</f>
        <v>155000</v>
      </c>
    </row>
    <row r="34" ht="12.5" spans="22:31">
      <c r="V34" s="465"/>
    </row>
    <row r="35" ht="12.5" spans="22:31">
      <c r="V35" s="465"/>
    </row>
    <row r="36" ht="12.5" spans="22:31">
      <c r="V36" s="465"/>
      <c r="Z36" s="466"/>
    </row>
    <row r="37" ht="12.5" spans="22:31">
      <c r="V37" s="465"/>
    </row>
    <row r="38" ht="12.5" spans="22:31">
      <c r="V38" s="465"/>
    </row>
    <row r="39" ht="12.5" spans="22:31">
      <c r="V39" s="465"/>
    </row>
    <row r="40" ht="12.5" spans="22:31">
      <c r="V40" s="465"/>
    </row>
    <row r="41" ht="12.5" spans="22:31">
      <c r="V41" s="465"/>
    </row>
    <row r="42" ht="12.5" spans="22:31">
      <c r="V42" s="465"/>
    </row>
    <row r="43" ht="12.5" spans="22:31">
      <c r="V43" s="465"/>
    </row>
    <row r="44" ht="12.5" spans="22:31">
      <c r="V44" s="465"/>
    </row>
    <row r="45" ht="12.5" spans="22:31">
      <c r="V45" s="465"/>
    </row>
    <row r="46" ht="12.5" spans="22:31">
      <c r="V46" s="465"/>
    </row>
    <row r="47" ht="12.5" spans="22:31">
      <c r="V47" s="465"/>
    </row>
    <row r="48" ht="12.5" spans="22:31">
      <c r="V48" s="465"/>
    </row>
    <row r="49" ht="12.5" spans="22:22">
      <c r="V49" s="465"/>
    </row>
    <row r="50" ht="12.5" spans="22:22">
      <c r="V50" s="465"/>
    </row>
    <row r="51" ht="12.5" spans="22:22">
      <c r="V51" s="465"/>
    </row>
    <row r="52" ht="12.5" spans="22:22">
      <c r="V52" s="465"/>
    </row>
    <row r="53" ht="12.5" spans="22:22">
      <c r="V53" s="465"/>
    </row>
    <row r="54" ht="12.5" spans="22:22">
      <c r="V54" s="465"/>
    </row>
    <row r="55" ht="12.5" spans="22:22">
      <c r="V55" s="465"/>
    </row>
    <row r="56" ht="12.5" spans="22:22">
      <c r="V56" s="465"/>
    </row>
    <row r="57" ht="12.5" spans="22:22">
      <c r="V57" s="465"/>
    </row>
    <row r="58" ht="12.5" spans="22:22">
      <c r="V58" s="465"/>
    </row>
    <row r="59" ht="12.5" spans="22:22">
      <c r="V59" s="465"/>
    </row>
    <row r="60" ht="12.5" spans="22:22">
      <c r="V60" s="465"/>
    </row>
    <row r="61" ht="12.5" spans="22:22">
      <c r="V61" s="465"/>
    </row>
    <row r="62" ht="12.5" spans="22:22">
      <c r="V62" s="465"/>
    </row>
    <row r="63" ht="12.5" spans="22:22">
      <c r="V63" s="465"/>
    </row>
    <row r="64" ht="12.5" spans="22:22">
      <c r="V64" s="465"/>
    </row>
    <row r="65" ht="12.5" spans="22:22">
      <c r="V65" s="465"/>
    </row>
    <row r="66" ht="12.5" spans="22:22">
      <c r="V66" s="465"/>
    </row>
    <row r="67" ht="12.5" spans="22:22">
      <c r="V67" s="465"/>
    </row>
    <row r="68" ht="12.5" spans="22:22">
      <c r="V68" s="465"/>
    </row>
    <row r="69" ht="12.5" spans="22:22">
      <c r="V69" s="465"/>
    </row>
    <row r="70" ht="12.5" spans="22:22">
      <c r="V70" s="465"/>
    </row>
    <row r="71" ht="12.5" spans="22:22">
      <c r="V71" s="465"/>
    </row>
    <row r="72" ht="12.5" spans="22:22">
      <c r="V72" s="465"/>
    </row>
    <row r="73" ht="12.5" spans="22:22">
      <c r="V73" s="465"/>
    </row>
    <row r="74" ht="12.5" spans="22:22">
      <c r="V74" s="465"/>
    </row>
    <row r="75" ht="12.5" spans="22:22">
      <c r="V75" s="465"/>
    </row>
    <row r="76" ht="12.5" spans="22:22">
      <c r="V76" s="465"/>
    </row>
    <row r="77" ht="12.5" spans="22:22">
      <c r="V77" s="465"/>
    </row>
  </sheetData>
  <conditionalFormatting sqref="S15">
    <cfRule type="containsText" dxfId="11" priority="1" stopIfTrue="1" operator="between" text="Paying">
      <formula>NOT(ISERROR(SEARCH("Paying",S15)))</formula>
    </cfRule>
    <cfRule type="containsText" dxfId="12" priority="2" stopIfTrue="1" operator="between" text="Approved">
      <formula>NOT(ISERROR(SEARCH("Approved",S15)))</formula>
    </cfRule>
    <cfRule type="containsText" dxfId="13" priority="3" stopIfTrue="1" operator="between" text="Paying">
      <formula>NOT(ISERROR(SEARCH("Paying",S15)))</formula>
    </cfRule>
    <cfRule type="containsText" dxfId="5" priority="4" stopIfTrue="1" operator="between" text="Uploaded">
      <formula>NOT(ISERROR(SEARCH("Uploaded",S15)))</formula>
    </cfRule>
    <cfRule type="containsText" dxfId="3" priority="5" stopIfTrue="1" operator="between" text="Received">
      <formula>NOT(ISERROR(SEARCH("Received",S15)))</formula>
    </cfRule>
    <cfRule type="containsText" dxfId="2" priority="6" stopIfTrue="1" operator="between" text="Completed">
      <formula>NOT(ISERROR(SEARCH("Completed",S15)))</formula>
    </cfRule>
    <cfRule type="cellIs" dxfId="4" priority="7" stopIfTrue="1" operator="equal">
      <formula>"Receiving"</formula>
    </cfRule>
  </conditionalFormatting>
  <conditionalFormatting sqref="S23:S25">
    <cfRule type="containsText" dxfId="5" priority="22" stopIfTrue="1" operator="between" text="Paying">
      <formula>NOT(ISERROR(SEARCH("Paying",S23)))</formula>
    </cfRule>
  </conditionalFormatting>
  <conditionalFormatting sqref="S24:S25">
    <cfRule type="cellIs" dxfId="4" priority="23" stopIfTrue="1" operator="equal">
      <formula>"Receiving"</formula>
    </cfRule>
  </conditionalFormatting>
  <conditionalFormatting sqref="AE3:AE25">
    <cfRule type="containsText" dxfId="15" priority="10" operator="between" text="船东付">
      <formula>NOT(ISERROR(SEARCH("船东付",AE3)))</formula>
    </cfRule>
    <cfRule type="containsText" dxfId="7" priority="11" operator="between" text="船东付">
      <formula>NOT(ISERROR(SEARCH("船东付",AE3)))</formula>
    </cfRule>
  </conditionalFormatting>
  <conditionalFormatting sqref="AE10:AE25">
    <cfRule type="containsText" dxfId="8" priority="12" operator="between" text="待收">
      <formula>NOT(ISERROR(SEARCH("待收",AE10)))</formula>
    </cfRule>
    <cfRule type="containsText" dxfId="9" priority="13" operator="between" text="已开票">
      <formula>NOT(ISERROR(SEARCH("已开票",AE10)))</formula>
    </cfRule>
    <cfRule type="containsText" dxfId="8" priority="14" operator="between" text="已开票">
      <formula>NOT(ISERROR(SEARCH("已开票",AE10)))</formula>
    </cfRule>
    <cfRule type="containsText" dxfId="10" priority="15" operator="between" text="已收">
      <formula>NOT(ISERROR(SEARCH("已收",AE10)))</formula>
    </cfRule>
  </conditionalFormatting>
  <conditionalFormatting sqref="S5:S14 S16:S17">
    <cfRule type="containsText" dxfId="5" priority="8" stopIfTrue="1" operator="between" text="Paying">
      <formula>NOT(ISERROR(SEARCH("Paying",S5)))</formula>
    </cfRule>
  </conditionalFormatting>
  <conditionalFormatting sqref="S10:S14 S16:S17">
    <cfRule type="cellIs" dxfId="4" priority="9" stopIfTrue="1" operator="equal">
      <formula>"Receiving"</formula>
    </cfRule>
  </conditionalFormatting>
  <conditionalFormatting sqref="S18 S20 S22">
    <cfRule type="containsText" dxfId="11" priority="24" stopIfTrue="1" operator="between" text="Paying">
      <formula>NOT(ISERROR(SEARCH("Paying",S18)))</formula>
    </cfRule>
    <cfRule type="containsText" dxfId="12" priority="25" stopIfTrue="1" operator="between" text="Approved">
      <formula>NOT(ISERROR(SEARCH("Approved",S18)))</formula>
    </cfRule>
    <cfRule type="containsText" dxfId="13" priority="26" stopIfTrue="1" operator="between" text="Paying">
      <formula>NOT(ISERROR(SEARCH("Paying",S18)))</formula>
    </cfRule>
    <cfRule type="containsText" dxfId="5" priority="27" stopIfTrue="1" operator="between" text="Uploaded">
      <formula>NOT(ISERROR(SEARCH("Uploaded",S18)))</formula>
    </cfRule>
    <cfRule type="containsText" dxfId="3" priority="28" stopIfTrue="1" operator="between" text="Received">
      <formula>NOT(ISERROR(SEARCH("Received",S18)))</formula>
    </cfRule>
    <cfRule type="containsText" dxfId="2" priority="29" stopIfTrue="1" operator="between" text="Completed">
      <formula>NOT(ISERROR(SEARCH("Completed",S18)))</formula>
    </cfRule>
  </conditionalFormatting>
  <conditionalFormatting sqref="S18 S20 S22:S23">
    <cfRule type="cellIs" dxfId="4" priority="30" stopIfTrue="1" operator="equal">
      <formula>"Receiving"</formula>
    </cfRule>
  </conditionalFormatting>
  <conditionalFormatting sqref="S19 S21">
    <cfRule type="containsText" dxfId="5" priority="49" stopIfTrue="1" operator="between" text="Paying">
      <formula>NOT(ISERROR(SEARCH("Paying",S19)))</formula>
    </cfRule>
    <cfRule type="cellIs" dxfId="4" priority="51" stopIfTrue="1" operator="equal">
      <formula>"Receiving"</formula>
    </cfRule>
  </conditionalFormatting>
  <dataValidations count="4">
    <dataValidation type="list" allowBlank="1" showInputMessage="1" showErrorMessage="1" sqref="S15">
      <formula1>$V$1:$AA$1</formula1>
    </dataValidation>
    <dataValidation type="list" allowBlank="1" showInputMessage="1" showErrorMessage="1" sqref="S5:S9">
      <formula1>$C$2:$H$2</formula1>
    </dataValidation>
    <dataValidation type="list" allowBlank="1" showInputMessage="1" showErrorMessage="1" sqref="S10:S14 S16:S25">
      <formula1>$X$1:$AC$1</formula1>
    </dataValidation>
    <dataValidation type="list" allowBlank="1" showInputMessage="1" showErrorMessage="1" sqref="AE3:AE25">
      <formula1>$AD$1:$AG$1</formula1>
    </dataValidation>
  </dataValidations>
  <hyperlinks>
    <hyperlink ref="W14" r:id="rId1" display="PIONEER LADY 8月证书费用.pdf"/>
    <hyperlink ref="W16" r:id="rId2" display="20260813巴哈马国旗法定记录本__INVOICE.pdf"/>
    <hyperlink ref="W17" r:id="rId3" display="20260469 - Fuzhou C hangzin Electronic (PIONEER LADY)(2).pdf"/>
    <hyperlink ref="W18" r:id="rId4" display="改船籍港特殊劳务费200美元(1).pdf"/>
    <hyperlink ref="W20" r:id="rId5" display="LR 两名船检猫的登离船代理费用支出(1).pdf"/>
    <hyperlink ref="W22" r:id="rId6" display="GMDSS年检工程师登离轮代理费支出(1).pdf"/>
    <hyperlink ref="W24" r:id="rId7" display="Invoice--Pioneer Lady PILEP260827-OF(1).docx"/>
    <hyperlink ref="V17" r:id="rId8" display="MSTS_PIONEER LADY20260731_泗水服务付款凭证(1).pdf"/>
    <hyperlink ref="W13" r:id="rId9" display="Annual Fee Invoice# 2431470.pdf"/>
    <hyperlink ref="W12" r:id="rId10" display="PRO-FORMA INVOICE.pdf"/>
    <hyperlink ref="V13" r:id="rId11" display="Payment_Certificate_20260922163203.pdf"/>
    <hyperlink ref="F12" r:id="rId12" display="Pioneer Lady 船舶申请订单确认报告(DPILT-LISCR)(1)_20260923115119.pdf"/>
    <hyperlink ref="F13" r:id="rId13" display="Pioneer Lady 船舶申请订单确认报告(DPILT-LISCR)(2)_20260923115309.pdf"/>
    <hyperlink ref="W15" r:id="rId14" display="海事海关系统更改费用375美元.pdf"/>
  </hyperlink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"/>
  <sheetViews>
    <sheetView zoomScale="55" zoomScaleNormal="55" workbookViewId="0">
      <selection activeCell="H36" sqref="H36"/>
    </sheetView>
  </sheetViews>
  <sheetFormatPr defaultColWidth="8.72727272727273" defaultRowHeight="12.5"/>
  <cols>
    <col min="1" max="1" width="9.72727272727273" customWidth="1"/>
    <col min="2" max="2" width="41.7272727272727" customWidth="1"/>
    <col min="3" max="3" width="9.18181818181818" customWidth="1"/>
    <col min="4" max="4" width="30" customWidth="1"/>
    <col min="5" max="5" width="9.36363636363636" customWidth="1"/>
    <col min="6" max="6" width="10.5454545454545" customWidth="1"/>
    <col min="7" max="7" width="10.3636363636364" customWidth="1"/>
    <col min="8" max="8" width="16.9090909090909" customWidth="1"/>
    <col min="9" max="9" width="13.0909090909091" customWidth="1"/>
    <col min="10" max="10" width="9.54545454545454" customWidth="1"/>
    <col min="11" max="11" width="17.6363636363636" customWidth="1"/>
    <col min="12" max="12" width="20" customWidth="1"/>
    <col min="13" max="13" width="10.9090909090909" customWidth="1"/>
    <col min="14" max="14" width="9.54545454545454" customWidth="1"/>
    <col min="15" max="15" width="8.27272727272727" customWidth="1"/>
    <col min="16" max="16" width="11.6363636363636" customWidth="1"/>
    <col min="17" max="17" width="9" customWidth="1"/>
    <col min="18" max="18" width="14.5454545454545" customWidth="1"/>
    <col min="19" max="19" width="11.9090909090909" customWidth="1"/>
    <col min="20" max="21" width="12.0909090909091" customWidth="1"/>
    <col min="22" max="22" width="8" customWidth="1"/>
    <col min="23" max="23" width="9.18181818181818" customWidth="1"/>
    <col min="24" max="24" width="8.63636363636364" customWidth="1"/>
    <col min="25" max="25" width="9.36363636363636" customWidth="1"/>
    <col min="26" max="26" width="8" customWidth="1"/>
    <col min="27" max="27" width="12.6363636363636" customWidth="1"/>
    <col min="28" max="28" width="13" customWidth="1"/>
  </cols>
  <sheetData>
    <row r="1" ht="13.75" customHeight="1" spans="1:31">
      <c r="A1" s="239" t="s">
        <v>144</v>
      </c>
      <c r="B1" s="137" t="s">
        <v>145</v>
      </c>
      <c r="C1" s="137" t="s">
        <v>146</v>
      </c>
      <c r="D1" s="240" t="s">
        <v>147</v>
      </c>
      <c r="E1" s="241" t="s">
        <v>148</v>
      </c>
      <c r="F1" s="241" t="s">
        <v>149</v>
      </c>
      <c r="G1" s="241" t="s">
        <v>150</v>
      </c>
      <c r="H1" s="241" t="s">
        <v>189</v>
      </c>
      <c r="I1" s="241" t="s">
        <v>190</v>
      </c>
      <c r="J1" s="241" t="s">
        <v>191</v>
      </c>
      <c r="K1" s="240" t="s">
        <v>192</v>
      </c>
      <c r="L1" s="239" t="s">
        <v>193</v>
      </c>
      <c r="M1" s="242" t="s">
        <v>194</v>
      </c>
      <c r="N1" s="242" t="s">
        <v>195</v>
      </c>
      <c r="O1" s="242" t="s">
        <v>196</v>
      </c>
      <c r="P1" s="137" t="s">
        <v>197</v>
      </c>
      <c r="Q1" s="240" t="s">
        <v>198</v>
      </c>
      <c r="R1" s="240" t="s">
        <v>199</v>
      </c>
      <c r="S1" s="243" t="s">
        <v>156</v>
      </c>
      <c r="T1" s="244" t="s">
        <v>201</v>
      </c>
      <c r="U1" s="245" t="s">
        <v>201</v>
      </c>
      <c r="V1" s="246" t="s">
        <v>82</v>
      </c>
      <c r="W1" s="247" t="s">
        <v>83</v>
      </c>
      <c r="X1" s="246" t="s">
        <v>84</v>
      </c>
      <c r="Y1" s="246" t="s">
        <v>85</v>
      </c>
      <c r="Z1" s="246" t="s">
        <v>86</v>
      </c>
      <c r="AA1" s="248" t="s">
        <v>87</v>
      </c>
      <c r="AB1" s="249" t="s">
        <v>564</v>
      </c>
      <c r="AC1" s="249" t="s">
        <v>565</v>
      </c>
      <c r="AD1" s="249" t="s">
        <v>566</v>
      </c>
      <c r="AE1" s="250" t="s">
        <v>567</v>
      </c>
    </row>
    <row r="2" ht="13.75" customHeight="1" spans="1:31">
      <c r="A2" s="251"/>
      <c r="B2" s="252"/>
      <c r="C2" s="253" t="s">
        <v>83</v>
      </c>
      <c r="D2" s="254" t="s">
        <v>84</v>
      </c>
      <c r="E2" s="254" t="s">
        <v>85</v>
      </c>
      <c r="F2" s="254" t="s">
        <v>86</v>
      </c>
      <c r="G2" s="254" t="s">
        <v>87</v>
      </c>
      <c r="H2" s="255">
        <f t="shared" ref="H2:O2" si="0">SUM(H3:H24)</f>
        <v>0</v>
      </c>
      <c r="I2" s="255">
        <f t="shared" si="0"/>
        <v>0</v>
      </c>
      <c r="J2" s="255">
        <f t="shared" si="0"/>
        <v>0</v>
      </c>
      <c r="K2" s="255">
        <f t="shared" si="0"/>
        <v>0</v>
      </c>
      <c r="L2" s="255">
        <f t="shared" si="0"/>
        <v>0</v>
      </c>
      <c r="M2" s="255">
        <f t="shared" si="0"/>
        <v>0</v>
      </c>
      <c r="N2" s="255">
        <f t="shared" si="0"/>
        <v>0</v>
      </c>
      <c r="O2" s="255">
        <f t="shared" si="0"/>
        <v>0</v>
      </c>
      <c r="P2" s="255"/>
      <c r="Q2" s="255">
        <f t="shared" ref="Q2:AA2" si="1">SUM(Q3:Q24)</f>
        <v>0</v>
      </c>
      <c r="R2" s="255">
        <f t="shared" si="1"/>
        <v>0</v>
      </c>
      <c r="S2" s="255">
        <f t="shared" si="1"/>
        <v>0</v>
      </c>
      <c r="T2" s="255">
        <f t="shared" si="1"/>
        <v>0</v>
      </c>
      <c r="U2" s="256">
        <f t="shared" si="1"/>
        <v>0</v>
      </c>
      <c r="V2" s="257">
        <f t="shared" si="1"/>
        <v>0</v>
      </c>
      <c r="W2" s="255">
        <f t="shared" si="1"/>
        <v>0</v>
      </c>
      <c r="X2" s="255">
        <f t="shared" si="1"/>
        <v>0</v>
      </c>
      <c r="Y2" s="255">
        <f t="shared" si="1"/>
        <v>0</v>
      </c>
      <c r="Z2" s="255">
        <f t="shared" si="1"/>
        <v>0</v>
      </c>
      <c r="AA2" s="255">
        <f t="shared" si="1"/>
        <v>0</v>
      </c>
      <c r="AB2" s="258">
        <f>SUM(V2:AA2)+S2</f>
        <v>0</v>
      </c>
      <c r="AC2" s="259" t="s">
        <v>140</v>
      </c>
    </row>
    <row r="3" ht="13" customHeight="1" spans="1:31">
      <c r="A3" s="260"/>
      <c r="B3" s="261"/>
      <c r="C3" s="262"/>
      <c r="D3" s="263"/>
      <c r="E3" s="263"/>
      <c r="F3" s="264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5"/>
      <c r="V3" s="262" t="str">
        <f t="shared" ref="V3:V24" si="2">IF(R3="Accrual",L3,"")</f>
        <v/>
      </c>
      <c r="W3" s="263" t="str">
        <f t="shared" ref="W3:W24" si="3">IF(R3="Receiving",L3,"")</f>
        <v/>
      </c>
      <c r="X3" s="263" t="str">
        <f t="shared" ref="X3:X24" si="4">IF(R3="Received",L3,"")</f>
        <v/>
      </c>
      <c r="Y3" s="263" t="str">
        <f t="shared" ref="Y3:Y24" si="5">IF(R3="Approved",L3,"")</f>
        <v/>
      </c>
      <c r="Z3" s="263" t="str">
        <f t="shared" ref="Z3:Z24" si="6">IF(R3="Paying",L3,"")</f>
        <v/>
      </c>
      <c r="AA3" s="30" t="str">
        <f t="shared" ref="AA3:AA24" si="7">IF(R3="Completed",L3,"")</f>
        <v/>
      </c>
      <c r="AB3" s="30"/>
      <c r="AC3" s="266"/>
    </row>
    <row r="4" ht="13" customHeight="1" spans="1:31">
      <c r="A4" s="267"/>
      <c r="B4" s="268"/>
      <c r="C4" s="269"/>
      <c r="D4" s="30"/>
      <c r="E4" s="30"/>
      <c r="F4" s="44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266"/>
      <c r="V4" s="269" t="str">
        <f t="shared" si="2"/>
        <v/>
      </c>
      <c r="W4" s="30" t="str">
        <f t="shared" si="3"/>
        <v/>
      </c>
      <c r="X4" s="30" t="str">
        <f t="shared" si="4"/>
        <v/>
      </c>
      <c r="Y4" s="30" t="str">
        <f t="shared" si="5"/>
        <v/>
      </c>
      <c r="Z4" s="30" t="str">
        <f t="shared" si="6"/>
        <v/>
      </c>
      <c r="AA4" s="30" t="str">
        <f t="shared" si="7"/>
        <v/>
      </c>
      <c r="AB4" s="30"/>
      <c r="AC4" s="266"/>
    </row>
    <row r="5" ht="14" customHeight="1" spans="1:31">
      <c r="A5" s="270"/>
      <c r="B5" s="271"/>
      <c r="C5" s="272"/>
      <c r="D5" s="212"/>
      <c r="E5" s="212"/>
      <c r="F5" s="273"/>
      <c r="G5" s="274"/>
      <c r="H5" s="275"/>
      <c r="I5" s="236"/>
      <c r="J5" s="236"/>
      <c r="K5" s="276"/>
      <c r="L5" s="276"/>
      <c r="M5" s="277"/>
      <c r="N5" s="277"/>
      <c r="O5" s="277"/>
      <c r="P5" s="278"/>
      <c r="Q5" s="30"/>
      <c r="R5" s="279"/>
      <c r="S5" s="30"/>
      <c r="T5" s="30"/>
      <c r="U5" s="266"/>
      <c r="V5" s="269" t="str">
        <f t="shared" si="2"/>
        <v/>
      </c>
      <c r="W5" s="30" t="str">
        <f t="shared" si="3"/>
        <v/>
      </c>
      <c r="X5" s="30" t="str">
        <f t="shared" si="4"/>
        <v/>
      </c>
      <c r="Y5" s="30" t="str">
        <f t="shared" si="5"/>
        <v/>
      </c>
      <c r="Z5" s="30" t="str">
        <f t="shared" si="6"/>
        <v/>
      </c>
      <c r="AA5" s="30" t="str">
        <f t="shared" si="7"/>
        <v/>
      </c>
      <c r="AB5" s="30"/>
      <c r="AC5" s="266"/>
    </row>
    <row r="6" ht="14" customHeight="1" spans="1:31">
      <c r="A6" s="280"/>
      <c r="B6" s="281"/>
      <c r="C6" s="282"/>
      <c r="D6" s="231"/>
      <c r="E6" s="236"/>
      <c r="F6" s="275"/>
      <c r="G6" s="274"/>
      <c r="H6" s="275"/>
      <c r="I6" s="236"/>
      <c r="J6" s="236"/>
      <c r="K6" s="276"/>
      <c r="L6" s="276"/>
      <c r="M6" s="277"/>
      <c r="N6" s="277"/>
      <c r="O6" s="277"/>
      <c r="P6" s="283"/>
      <c r="Q6" s="236"/>
      <c r="R6" s="279"/>
      <c r="S6" s="284"/>
      <c r="T6" s="285"/>
      <c r="U6" s="286"/>
      <c r="V6" s="269" t="str">
        <f t="shared" si="2"/>
        <v/>
      </c>
      <c r="W6" s="30" t="str">
        <f t="shared" si="3"/>
        <v/>
      </c>
      <c r="X6" s="30" t="str">
        <f t="shared" si="4"/>
        <v/>
      </c>
      <c r="Y6" s="30" t="str">
        <f t="shared" si="5"/>
        <v/>
      </c>
      <c r="Z6" s="30" t="str">
        <f t="shared" si="6"/>
        <v/>
      </c>
      <c r="AA6" s="30" t="str">
        <f t="shared" si="7"/>
        <v/>
      </c>
      <c r="AB6" s="30"/>
      <c r="AC6" s="266"/>
    </row>
    <row r="7" ht="13" customHeight="1" spans="1:31">
      <c r="A7" s="270"/>
      <c r="B7" s="271"/>
      <c r="C7" s="272"/>
      <c r="D7" s="212"/>
      <c r="E7" s="212"/>
      <c r="F7" s="273"/>
      <c r="G7" s="217"/>
      <c r="H7" s="273"/>
      <c r="I7" s="192"/>
      <c r="J7" s="192"/>
      <c r="K7" s="273"/>
      <c r="L7" s="273"/>
      <c r="M7" s="287"/>
      <c r="N7" s="287"/>
      <c r="O7" s="287"/>
      <c r="P7" s="288"/>
      <c r="Q7" s="192"/>
      <c r="R7" s="279"/>
      <c r="S7" s="212"/>
      <c r="T7" s="289"/>
      <c r="U7" s="290"/>
      <c r="V7" s="269" t="str">
        <f t="shared" si="2"/>
        <v/>
      </c>
      <c r="W7" s="30" t="str">
        <f t="shared" si="3"/>
        <v/>
      </c>
      <c r="X7" s="30" t="str">
        <f t="shared" si="4"/>
        <v/>
      </c>
      <c r="Y7" s="30" t="str">
        <f t="shared" si="5"/>
        <v/>
      </c>
      <c r="Z7" s="30" t="str">
        <f t="shared" si="6"/>
        <v/>
      </c>
      <c r="AA7" s="30" t="str">
        <f t="shared" si="7"/>
        <v/>
      </c>
      <c r="AB7" s="30"/>
      <c r="AC7" s="266"/>
    </row>
    <row r="8" ht="13" customHeight="1" spans="1:31">
      <c r="A8" s="270"/>
      <c r="B8" s="271"/>
      <c r="C8" s="272"/>
      <c r="D8" s="212"/>
      <c r="E8" s="212"/>
      <c r="F8" s="273"/>
      <c r="G8" s="217"/>
      <c r="H8" s="273"/>
      <c r="I8" s="192"/>
      <c r="J8" s="192"/>
      <c r="K8" s="273"/>
      <c r="L8" s="273"/>
      <c r="M8" s="287"/>
      <c r="N8" s="287"/>
      <c r="O8" s="287"/>
      <c r="P8" s="288"/>
      <c r="Q8" s="192"/>
      <c r="R8" s="279"/>
      <c r="S8" s="212"/>
      <c r="T8" s="289"/>
      <c r="U8" s="290"/>
      <c r="V8" s="269" t="str">
        <f t="shared" si="2"/>
        <v/>
      </c>
      <c r="W8" s="30" t="str">
        <f t="shared" si="3"/>
        <v/>
      </c>
      <c r="X8" s="30" t="str">
        <f t="shared" si="4"/>
        <v/>
      </c>
      <c r="Y8" s="30" t="str">
        <f t="shared" si="5"/>
        <v/>
      </c>
      <c r="Z8" s="30" t="str">
        <f t="shared" si="6"/>
        <v/>
      </c>
      <c r="AA8" s="30" t="str">
        <f t="shared" si="7"/>
        <v/>
      </c>
      <c r="AB8" s="30"/>
      <c r="AC8" s="266"/>
    </row>
    <row r="9" ht="13" customHeight="1" spans="1:31">
      <c r="A9" s="270"/>
      <c r="B9" s="271"/>
      <c r="C9" s="272"/>
      <c r="D9" s="212"/>
      <c r="E9" s="212"/>
      <c r="F9" s="273"/>
      <c r="G9" s="217"/>
      <c r="H9" s="273"/>
      <c r="I9" s="192"/>
      <c r="J9" s="192"/>
      <c r="K9" s="273"/>
      <c r="L9" s="273"/>
      <c r="M9" s="287"/>
      <c r="N9" s="287"/>
      <c r="O9" s="287"/>
      <c r="P9" s="288"/>
      <c r="Q9" s="192"/>
      <c r="R9" s="279"/>
      <c r="S9" s="212"/>
      <c r="T9" s="289"/>
      <c r="U9" s="290"/>
      <c r="V9" s="269" t="str">
        <f t="shared" si="2"/>
        <v/>
      </c>
      <c r="W9" s="30" t="str">
        <f t="shared" si="3"/>
        <v/>
      </c>
      <c r="X9" s="30" t="str">
        <f t="shared" si="4"/>
        <v/>
      </c>
      <c r="Y9" s="30" t="str">
        <f t="shared" si="5"/>
        <v/>
      </c>
      <c r="Z9" s="30" t="str">
        <f t="shared" si="6"/>
        <v/>
      </c>
      <c r="AA9" s="30" t="str">
        <f t="shared" si="7"/>
        <v/>
      </c>
      <c r="AB9" s="30"/>
      <c r="AC9" s="266"/>
    </row>
    <row r="10" ht="13" customHeight="1" spans="1:31">
      <c r="A10" s="270"/>
      <c r="B10" s="271"/>
      <c r="C10" s="272"/>
      <c r="D10" s="212"/>
      <c r="E10" s="212"/>
      <c r="F10" s="273"/>
      <c r="G10" s="217"/>
      <c r="H10" s="273"/>
      <c r="I10" s="192"/>
      <c r="J10" s="192"/>
      <c r="K10" s="273"/>
      <c r="L10" s="273"/>
      <c r="M10" s="287"/>
      <c r="N10" s="287"/>
      <c r="O10" s="287"/>
      <c r="P10" s="288"/>
      <c r="Q10" s="192"/>
      <c r="R10" s="188"/>
      <c r="S10" s="212"/>
      <c r="T10" s="291"/>
      <c r="U10" s="290"/>
      <c r="V10" s="269" t="str">
        <f t="shared" si="2"/>
        <v/>
      </c>
      <c r="W10" s="30" t="str">
        <f t="shared" si="3"/>
        <v/>
      </c>
      <c r="X10" s="30" t="str">
        <f t="shared" si="4"/>
        <v/>
      </c>
      <c r="Y10" s="30" t="str">
        <f t="shared" si="5"/>
        <v/>
      </c>
      <c r="Z10" s="30" t="str">
        <f t="shared" si="6"/>
        <v/>
      </c>
      <c r="AA10" s="30" t="str">
        <f t="shared" si="7"/>
        <v/>
      </c>
      <c r="AB10" s="30"/>
      <c r="AC10" s="266"/>
    </row>
    <row r="11" ht="13" customHeight="1" spans="1:31">
      <c r="A11" s="270"/>
      <c r="B11" s="271"/>
      <c r="C11" s="272"/>
      <c r="D11" s="212"/>
      <c r="E11" s="212"/>
      <c r="F11" s="273"/>
      <c r="G11" s="217"/>
      <c r="H11" s="273"/>
      <c r="I11" s="192"/>
      <c r="J11" s="192"/>
      <c r="K11" s="273"/>
      <c r="L11" s="273"/>
      <c r="M11" s="287"/>
      <c r="N11" s="287"/>
      <c r="O11" s="287"/>
      <c r="P11" s="288"/>
      <c r="Q11" s="192"/>
      <c r="R11" s="188"/>
      <c r="S11" s="212"/>
      <c r="T11" s="291"/>
      <c r="U11" s="290"/>
      <c r="V11" s="269" t="str">
        <f t="shared" si="2"/>
        <v/>
      </c>
      <c r="W11" s="30" t="str">
        <f t="shared" si="3"/>
        <v/>
      </c>
      <c r="X11" s="30" t="str">
        <f t="shared" si="4"/>
        <v/>
      </c>
      <c r="Y11" s="30" t="str">
        <f t="shared" si="5"/>
        <v/>
      </c>
      <c r="Z11" s="30" t="str">
        <f t="shared" si="6"/>
        <v/>
      </c>
      <c r="AA11" s="30" t="str">
        <f t="shared" si="7"/>
        <v/>
      </c>
      <c r="AB11" s="30"/>
      <c r="AC11" s="266"/>
    </row>
    <row r="12" ht="13" customHeight="1" spans="1:31">
      <c r="A12" s="270"/>
      <c r="B12" s="271"/>
      <c r="C12" s="272"/>
      <c r="D12" s="212"/>
      <c r="E12" s="212"/>
      <c r="F12" s="273"/>
      <c r="G12" s="217"/>
      <c r="H12" s="273"/>
      <c r="I12" s="192"/>
      <c r="J12" s="192"/>
      <c r="K12" s="273"/>
      <c r="L12" s="273"/>
      <c r="M12" s="287"/>
      <c r="N12" s="287"/>
      <c r="O12" s="287"/>
      <c r="P12" s="288"/>
      <c r="Q12" s="192"/>
      <c r="R12" s="188"/>
      <c r="S12" s="212"/>
      <c r="T12" s="291"/>
      <c r="U12" s="290"/>
      <c r="V12" s="269" t="str">
        <f t="shared" si="2"/>
        <v/>
      </c>
      <c r="W12" s="30" t="str">
        <f t="shared" si="3"/>
        <v/>
      </c>
      <c r="X12" s="30" t="str">
        <f t="shared" si="4"/>
        <v/>
      </c>
      <c r="Y12" s="30" t="str">
        <f t="shared" si="5"/>
        <v/>
      </c>
      <c r="Z12" s="30" t="str">
        <f t="shared" si="6"/>
        <v/>
      </c>
      <c r="AA12" s="30" t="str">
        <f t="shared" si="7"/>
        <v/>
      </c>
      <c r="AB12" s="30"/>
      <c r="AC12" s="266"/>
    </row>
    <row r="13" ht="13" customHeight="1" spans="1:31">
      <c r="A13" s="270"/>
      <c r="B13" s="271"/>
      <c r="C13" s="272"/>
      <c r="D13" s="212"/>
      <c r="E13" s="212"/>
      <c r="F13" s="273"/>
      <c r="G13" s="217"/>
      <c r="H13" s="273"/>
      <c r="I13" s="192"/>
      <c r="J13" s="192"/>
      <c r="K13" s="273"/>
      <c r="L13" s="273"/>
      <c r="M13" s="287"/>
      <c r="N13" s="287"/>
      <c r="O13" s="287"/>
      <c r="P13" s="288"/>
      <c r="Q13" s="192"/>
      <c r="R13" s="188"/>
      <c r="S13" s="212"/>
      <c r="T13" s="291"/>
      <c r="U13" s="290"/>
      <c r="V13" s="269" t="str">
        <f t="shared" si="2"/>
        <v/>
      </c>
      <c r="W13" s="30" t="str">
        <f t="shared" si="3"/>
        <v/>
      </c>
      <c r="X13" s="30" t="str">
        <f t="shared" si="4"/>
        <v/>
      </c>
      <c r="Y13" s="30" t="str">
        <f t="shared" si="5"/>
        <v/>
      </c>
      <c r="Z13" s="30" t="str">
        <f t="shared" si="6"/>
        <v/>
      </c>
      <c r="AA13" s="30" t="str">
        <f t="shared" si="7"/>
        <v/>
      </c>
      <c r="AB13" s="30"/>
      <c r="AC13" s="266"/>
    </row>
    <row r="14" ht="13" customHeight="1" spans="1:31">
      <c r="A14" s="270"/>
      <c r="B14" s="271"/>
      <c r="C14" s="272"/>
      <c r="D14" s="212"/>
      <c r="E14" s="212"/>
      <c r="F14" s="273"/>
      <c r="G14" s="217"/>
      <c r="H14" s="273"/>
      <c r="I14" s="192"/>
      <c r="J14" s="192"/>
      <c r="K14" s="273"/>
      <c r="L14" s="273"/>
      <c r="M14" s="287"/>
      <c r="N14" s="287"/>
      <c r="O14" s="287"/>
      <c r="P14" s="288"/>
      <c r="Q14" s="192"/>
      <c r="R14" s="188"/>
      <c r="S14" s="212"/>
      <c r="T14" s="291"/>
      <c r="U14" s="290"/>
      <c r="V14" s="269" t="str">
        <f t="shared" si="2"/>
        <v/>
      </c>
      <c r="W14" s="30" t="str">
        <f t="shared" si="3"/>
        <v/>
      </c>
      <c r="X14" s="30" t="str">
        <f t="shared" si="4"/>
        <v/>
      </c>
      <c r="Y14" s="30" t="str">
        <f t="shared" si="5"/>
        <v/>
      </c>
      <c r="Z14" s="30" t="str">
        <f t="shared" si="6"/>
        <v/>
      </c>
      <c r="AA14" s="30" t="str">
        <f t="shared" si="7"/>
        <v/>
      </c>
      <c r="AB14" s="30"/>
      <c r="AC14" s="266"/>
    </row>
    <row r="15" ht="13" customHeight="1" spans="1:31">
      <c r="A15" s="270"/>
      <c r="B15" s="271"/>
      <c r="C15" s="272"/>
      <c r="D15" s="212"/>
      <c r="E15" s="212"/>
      <c r="F15" s="273"/>
      <c r="G15" s="217"/>
      <c r="H15" s="273"/>
      <c r="I15" s="192"/>
      <c r="J15" s="192"/>
      <c r="K15" s="273"/>
      <c r="L15" s="273"/>
      <c r="M15" s="287"/>
      <c r="N15" s="287"/>
      <c r="O15" s="287"/>
      <c r="P15" s="288"/>
      <c r="Q15" s="192"/>
      <c r="R15" s="188"/>
      <c r="S15" s="212"/>
      <c r="T15" s="291"/>
      <c r="U15" s="290"/>
      <c r="V15" s="269" t="str">
        <f t="shared" si="2"/>
        <v/>
      </c>
      <c r="W15" s="30" t="str">
        <f t="shared" si="3"/>
        <v/>
      </c>
      <c r="X15" s="30" t="str">
        <f t="shared" si="4"/>
        <v/>
      </c>
      <c r="Y15" s="30" t="str">
        <f t="shared" si="5"/>
        <v/>
      </c>
      <c r="Z15" s="30" t="str">
        <f t="shared" si="6"/>
        <v/>
      </c>
      <c r="AA15" s="30" t="str">
        <f t="shared" si="7"/>
        <v/>
      </c>
      <c r="AB15" s="30"/>
      <c r="AC15" s="266"/>
    </row>
    <row r="16" ht="13" customHeight="1" spans="1:31">
      <c r="A16" s="270"/>
      <c r="B16" s="271"/>
      <c r="C16" s="292"/>
      <c r="D16" s="212"/>
      <c r="E16" s="160"/>
      <c r="F16" s="273"/>
      <c r="G16" s="217"/>
      <c r="H16" s="273"/>
      <c r="I16" s="192"/>
      <c r="J16" s="192"/>
      <c r="K16" s="273"/>
      <c r="L16" s="273"/>
      <c r="M16" s="287"/>
      <c r="N16" s="287"/>
      <c r="O16" s="287"/>
      <c r="P16" s="288"/>
      <c r="Q16" s="192"/>
      <c r="R16" s="188"/>
      <c r="S16" s="212"/>
      <c r="T16" s="289"/>
      <c r="U16" s="290"/>
      <c r="V16" s="269" t="str">
        <f t="shared" si="2"/>
        <v/>
      </c>
      <c r="W16" s="30" t="str">
        <f t="shared" si="3"/>
        <v/>
      </c>
      <c r="X16" s="30" t="str">
        <f t="shared" si="4"/>
        <v/>
      </c>
      <c r="Y16" s="30" t="str">
        <f t="shared" si="5"/>
        <v/>
      </c>
      <c r="Z16" s="30" t="str">
        <f t="shared" si="6"/>
        <v/>
      </c>
      <c r="AA16" s="30" t="str">
        <f t="shared" si="7"/>
        <v/>
      </c>
      <c r="AB16" s="30"/>
      <c r="AC16" s="266"/>
    </row>
    <row r="17" ht="13" customHeight="1" spans="1:29">
      <c r="A17" s="270"/>
      <c r="B17" s="293"/>
      <c r="C17" s="294"/>
      <c r="D17" s="160"/>
      <c r="E17" s="295"/>
      <c r="F17" s="207"/>
      <c r="G17" s="274"/>
      <c r="H17" s="207"/>
      <c r="I17" s="188"/>
      <c r="J17" s="188"/>
      <c r="K17" s="175"/>
      <c r="L17" s="175"/>
      <c r="M17" s="277"/>
      <c r="N17" s="277"/>
      <c r="O17" s="277"/>
      <c r="P17" s="288"/>
      <c r="Q17" s="188"/>
      <c r="R17" s="188"/>
      <c r="S17" s="175"/>
      <c r="T17" s="296"/>
      <c r="U17" s="297"/>
      <c r="V17" s="269" t="str">
        <f t="shared" si="2"/>
        <v/>
      </c>
      <c r="W17" s="30" t="str">
        <f t="shared" si="3"/>
        <v/>
      </c>
      <c r="X17" s="30" t="str">
        <f t="shared" si="4"/>
        <v/>
      </c>
      <c r="Y17" s="30" t="str">
        <f t="shared" si="5"/>
        <v/>
      </c>
      <c r="Z17" s="30" t="str">
        <f t="shared" si="6"/>
        <v/>
      </c>
      <c r="AA17" s="30" t="str">
        <f t="shared" si="7"/>
        <v/>
      </c>
      <c r="AB17" s="30"/>
      <c r="AC17" s="266"/>
    </row>
    <row r="18" ht="13" customHeight="1" spans="1:29">
      <c r="A18" s="270"/>
      <c r="B18" s="293"/>
      <c r="C18" s="294"/>
      <c r="D18" s="160"/>
      <c r="E18" s="295"/>
      <c r="F18" s="207"/>
      <c r="G18" s="274"/>
      <c r="H18" s="207"/>
      <c r="I18" s="188"/>
      <c r="J18" s="188"/>
      <c r="K18" s="175"/>
      <c r="L18" s="175"/>
      <c r="M18" s="277"/>
      <c r="N18" s="277"/>
      <c r="O18" s="277"/>
      <c r="P18" s="288"/>
      <c r="Q18" s="188"/>
      <c r="R18" s="188"/>
      <c r="S18" s="175"/>
      <c r="T18" s="296"/>
      <c r="U18" s="297"/>
      <c r="V18" s="269" t="str">
        <f t="shared" si="2"/>
        <v/>
      </c>
      <c r="W18" s="30" t="str">
        <f t="shared" si="3"/>
        <v/>
      </c>
      <c r="X18" s="30" t="str">
        <f t="shared" si="4"/>
        <v/>
      </c>
      <c r="Y18" s="30" t="str">
        <f t="shared" si="5"/>
        <v/>
      </c>
      <c r="Z18" s="30" t="str">
        <f t="shared" si="6"/>
        <v/>
      </c>
      <c r="AA18" s="30" t="str">
        <f t="shared" si="7"/>
        <v/>
      </c>
      <c r="AB18" s="30"/>
      <c r="AC18" s="266"/>
    </row>
    <row r="19" ht="13" customHeight="1" spans="1:29">
      <c r="A19" s="270"/>
      <c r="B19" s="293"/>
      <c r="C19" s="294"/>
      <c r="D19" s="160"/>
      <c r="E19" s="295"/>
      <c r="F19" s="207"/>
      <c r="G19" s="274"/>
      <c r="H19" s="207"/>
      <c r="I19" s="188"/>
      <c r="J19" s="188"/>
      <c r="K19" s="175"/>
      <c r="L19" s="175"/>
      <c r="M19" s="277"/>
      <c r="N19" s="277"/>
      <c r="O19" s="277"/>
      <c r="P19" s="288"/>
      <c r="Q19" s="188"/>
      <c r="R19" s="188"/>
      <c r="S19" s="175"/>
      <c r="T19" s="296"/>
      <c r="U19" s="297"/>
      <c r="V19" s="269" t="str">
        <f t="shared" si="2"/>
        <v/>
      </c>
      <c r="W19" s="30" t="str">
        <f t="shared" si="3"/>
        <v/>
      </c>
      <c r="X19" s="30" t="str">
        <f t="shared" si="4"/>
        <v/>
      </c>
      <c r="Y19" s="30" t="str">
        <f t="shared" si="5"/>
        <v/>
      </c>
      <c r="Z19" s="30" t="str">
        <f t="shared" si="6"/>
        <v/>
      </c>
      <c r="AA19" s="30" t="str">
        <f t="shared" si="7"/>
        <v/>
      </c>
      <c r="AB19" s="30"/>
      <c r="AC19" s="266"/>
    </row>
    <row r="20" ht="13" customHeight="1" spans="1:29">
      <c r="A20" s="270"/>
      <c r="B20" s="293"/>
      <c r="C20" s="294"/>
      <c r="D20" s="160"/>
      <c r="E20" s="295"/>
      <c r="F20" s="207"/>
      <c r="G20" s="274"/>
      <c r="H20" s="207"/>
      <c r="I20" s="188"/>
      <c r="J20" s="188"/>
      <c r="K20" s="161"/>
      <c r="L20" s="161"/>
      <c r="M20" s="277"/>
      <c r="N20" s="277"/>
      <c r="O20" s="277"/>
      <c r="P20" s="288"/>
      <c r="Q20" s="188"/>
      <c r="R20" s="188"/>
      <c r="S20" s="175"/>
      <c r="T20" s="296"/>
      <c r="U20" s="297"/>
      <c r="V20" s="269" t="str">
        <f t="shared" si="2"/>
        <v/>
      </c>
      <c r="W20" s="30" t="str">
        <f t="shared" si="3"/>
        <v/>
      </c>
      <c r="X20" s="30" t="str">
        <f t="shared" si="4"/>
        <v/>
      </c>
      <c r="Y20" s="30" t="str">
        <f t="shared" si="5"/>
        <v/>
      </c>
      <c r="Z20" s="30" t="str">
        <f t="shared" si="6"/>
        <v/>
      </c>
      <c r="AA20" s="30" t="str">
        <f t="shared" si="7"/>
        <v/>
      </c>
      <c r="AB20" s="30"/>
      <c r="AC20" s="266"/>
    </row>
    <row r="21" ht="13" customHeight="1" spans="1:29">
      <c r="A21" s="270"/>
      <c r="B21" s="293"/>
      <c r="C21" s="294"/>
      <c r="D21" s="160"/>
      <c r="E21" s="295"/>
      <c r="F21" s="207"/>
      <c r="G21" s="274"/>
      <c r="H21" s="207"/>
      <c r="I21" s="188"/>
      <c r="J21" s="188"/>
      <c r="K21" s="161"/>
      <c r="L21" s="161"/>
      <c r="M21" s="277"/>
      <c r="N21" s="277"/>
      <c r="O21" s="277"/>
      <c r="P21" s="288"/>
      <c r="Q21" s="188"/>
      <c r="R21" s="188"/>
      <c r="S21" s="175"/>
      <c r="T21" s="296"/>
      <c r="U21" s="297"/>
      <c r="V21" s="269" t="str">
        <f t="shared" si="2"/>
        <v/>
      </c>
      <c r="W21" s="30" t="str">
        <f t="shared" si="3"/>
        <v/>
      </c>
      <c r="X21" s="30" t="str">
        <f t="shared" si="4"/>
        <v/>
      </c>
      <c r="Y21" s="30" t="str">
        <f t="shared" si="5"/>
        <v/>
      </c>
      <c r="Z21" s="30" t="str">
        <f t="shared" si="6"/>
        <v/>
      </c>
      <c r="AA21" s="30" t="str">
        <f t="shared" si="7"/>
        <v/>
      </c>
      <c r="AB21" s="30"/>
      <c r="AC21" s="266"/>
    </row>
    <row r="22" ht="13" customHeight="1" spans="1:29">
      <c r="A22" s="270"/>
      <c r="B22" s="298"/>
      <c r="C22" s="272"/>
      <c r="D22" s="160"/>
      <c r="E22" s="160"/>
      <c r="F22" s="207"/>
      <c r="G22" s="274"/>
      <c r="H22" s="207"/>
      <c r="I22" s="188"/>
      <c r="J22" s="188"/>
      <c r="K22" s="161"/>
      <c r="L22" s="161"/>
      <c r="M22" s="277"/>
      <c r="N22" s="277"/>
      <c r="O22" s="277"/>
      <c r="P22" s="278"/>
      <c r="Q22" s="188"/>
      <c r="R22" s="188"/>
      <c r="S22" s="175"/>
      <c r="T22" s="296"/>
      <c r="U22" s="297"/>
      <c r="V22" s="269" t="str">
        <f t="shared" si="2"/>
        <v/>
      </c>
      <c r="W22" s="30" t="str">
        <f t="shared" si="3"/>
        <v/>
      </c>
      <c r="X22" s="30" t="str">
        <f t="shared" si="4"/>
        <v/>
      </c>
      <c r="Y22" s="30" t="str">
        <f t="shared" si="5"/>
        <v/>
      </c>
      <c r="Z22" s="30" t="str">
        <f t="shared" si="6"/>
        <v/>
      </c>
      <c r="AA22" s="30" t="str">
        <f t="shared" si="7"/>
        <v/>
      </c>
      <c r="AB22" s="30"/>
      <c r="AC22" s="266"/>
    </row>
    <row r="23" ht="13" customHeight="1" spans="1:29">
      <c r="A23" s="299"/>
      <c r="B23" s="300"/>
      <c r="C23" s="301"/>
      <c r="D23" s="199"/>
      <c r="E23" s="199"/>
      <c r="F23" s="215"/>
      <c r="G23" s="302"/>
      <c r="H23" s="207"/>
      <c r="I23" s="198"/>
      <c r="J23" s="198"/>
      <c r="K23" s="161"/>
      <c r="L23" s="161"/>
      <c r="M23" s="277"/>
      <c r="N23" s="277"/>
      <c r="O23" s="277"/>
      <c r="P23" s="303"/>
      <c r="Q23" s="198"/>
      <c r="R23" s="198"/>
      <c r="S23" s="221"/>
      <c r="T23" s="304"/>
      <c r="U23" s="305"/>
      <c r="V23" s="269" t="str">
        <f t="shared" si="2"/>
        <v/>
      </c>
      <c r="W23" s="30" t="str">
        <f t="shared" si="3"/>
        <v/>
      </c>
      <c r="X23" s="30" t="str">
        <f t="shared" si="4"/>
        <v/>
      </c>
      <c r="Y23" s="30" t="str">
        <f t="shared" si="5"/>
        <v/>
      </c>
      <c r="Z23" s="30" t="str">
        <f t="shared" si="6"/>
        <v/>
      </c>
      <c r="AA23" s="30" t="str">
        <f t="shared" si="7"/>
        <v/>
      </c>
      <c r="AB23" s="30"/>
      <c r="AC23" s="266"/>
    </row>
    <row r="24" ht="13.75" customHeight="1" spans="1:29">
      <c r="A24" s="306"/>
      <c r="B24" s="307"/>
      <c r="C24" s="308"/>
      <c r="D24" s="180"/>
      <c r="E24" s="180"/>
      <c r="F24" s="309"/>
      <c r="G24" s="310"/>
      <c r="H24" s="309"/>
      <c r="I24" s="311"/>
      <c r="J24" s="311"/>
      <c r="K24" s="181"/>
      <c r="L24" s="181"/>
      <c r="M24" s="312"/>
      <c r="N24" s="312"/>
      <c r="O24" s="312"/>
      <c r="P24" s="313"/>
      <c r="Q24" s="311"/>
      <c r="R24" s="311"/>
      <c r="S24" s="228"/>
      <c r="T24" s="314"/>
      <c r="U24" s="315"/>
      <c r="V24" s="316" t="str">
        <f t="shared" si="2"/>
        <v/>
      </c>
      <c r="W24" s="317" t="str">
        <f t="shared" si="3"/>
        <v/>
      </c>
      <c r="X24" s="317" t="str">
        <f t="shared" si="4"/>
        <v/>
      </c>
      <c r="Y24" s="317" t="str">
        <f t="shared" si="5"/>
        <v/>
      </c>
      <c r="Z24" s="317" t="str">
        <f t="shared" si="6"/>
        <v/>
      </c>
      <c r="AA24" s="317" t="str">
        <f t="shared" si="7"/>
        <v/>
      </c>
      <c r="AB24" s="317"/>
      <c r="AC24" s="318"/>
    </row>
    <row r="26" spans="1:29">
      <c r="L26" s="319"/>
    </row>
  </sheetData>
  <conditionalFormatting sqref="R5:R24">
    <cfRule type="containsText" dxfId="5" priority="6" stopIfTrue="1" operator="between" text="Paying">
      <formula>NOT(ISERROR(SEARCH("Paying",R5)))</formula>
    </cfRule>
  </conditionalFormatting>
  <conditionalFormatting sqref="R10:R24">
    <cfRule type="cellIs" dxfId="4" priority="8" stopIfTrue="1" operator="equal">
      <formula>"Receiving"</formula>
    </cfRule>
  </conditionalFormatting>
  <conditionalFormatting sqref="AC3:AC24">
    <cfRule type="containsText" dxfId="7" priority="1" operator="between" text="船东付">
      <formula>NOT(ISERROR(SEARCH("船东付",AC3)))</formula>
    </cfRule>
  </conditionalFormatting>
  <dataValidations count="3">
    <dataValidation type="list" allowBlank="1" showInputMessage="1" showErrorMessage="1" sqref="R5:R9">
      <formula1>$C$2:$G$2</formula1>
    </dataValidation>
    <dataValidation type="list" allowBlank="1" showInputMessage="1" showErrorMessage="1" sqref="R10:R24">
      <formula1>$V$1:$AA$1</formula1>
    </dataValidation>
    <dataValidation type="list" allowBlank="1" showInputMessage="1" showErrorMessage="1" sqref="AC3:AC24">
      <formula1>"已收,已开票,待收,船东付"</formula1>
    </dataValidation>
  </dataValidation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6"/>
  <sheetViews>
    <sheetView zoomScale="70" zoomScaleNormal="70" topLeftCell="A66" workbookViewId="0">
      <selection activeCell="T23" sqref="I3:T23"/>
    </sheetView>
  </sheetViews>
  <sheetFormatPr defaultColWidth="8.72727272727273" defaultRowHeight="13"/>
  <cols>
    <col min="1" max="1" width="12.8181818181818" style="118" customWidth="1"/>
    <col min="2" max="2" width="83.4545454545455" style="119" customWidth="1"/>
    <col min="3" max="3" width="8.63636363636364" style="119" customWidth="1"/>
    <col min="4" max="4" width="38.0909090909091" style="119" customWidth="1"/>
    <col min="5" max="5" width="9.72727272727273" style="119" customWidth="1"/>
    <col min="6" max="6" width="17.0909090909091" style="119" customWidth="1"/>
    <col min="7" max="7" width="10.8181818181818" style="119" customWidth="1"/>
    <col min="8" max="8" width="17.2727272727273" style="119" customWidth="1"/>
    <col min="9" max="9" width="10.0909090909091" style="120" customWidth="1"/>
    <col min="10" max="10" width="11" style="120" customWidth="1"/>
    <col min="11" max="11" width="6.54545454545455" style="120" customWidth="1"/>
    <col min="12" max="12" width="7.72727272727273" style="119" customWidth="1"/>
    <col min="13" max="13" width="11.3636363636364" style="120" customWidth="1"/>
    <col min="14" max="15" width="11.0909090909091" style="118" customWidth="1"/>
    <col min="16" max="16" width="16.5454545454545" style="119" customWidth="1"/>
    <col min="17" max="17" width="10.3636363636364" style="120" customWidth="1"/>
    <col min="18" max="18" width="8.72727272727273" style="119" customWidth="1"/>
    <col min="19" max="19" width="12.5454545454545" style="119" customWidth="1"/>
    <col min="20" max="20" width="24.8181818181818" style="119" customWidth="1"/>
    <col min="21" max="21" width="8.72727272727273" style="119" customWidth="1"/>
    <col min="22" max="16384" width="8.72727272727273" style="119"/>
  </cols>
  <sheetData>
    <row r="1" ht="13.75" customHeight="1" spans="1:20">
      <c r="A1" s="121" t="s">
        <v>623</v>
      </c>
      <c r="B1" s="122" t="s">
        <v>145</v>
      </c>
      <c r="C1" s="122" t="s">
        <v>146</v>
      </c>
      <c r="D1" s="123" t="s">
        <v>147</v>
      </c>
      <c r="E1" s="124" t="s">
        <v>148</v>
      </c>
      <c r="F1" s="124" t="s">
        <v>149</v>
      </c>
      <c r="G1" s="124" t="s">
        <v>150</v>
      </c>
      <c r="H1" s="124" t="s">
        <v>189</v>
      </c>
    </row>
    <row r="2" ht="13.75" customHeight="1" spans="1:20">
      <c r="A2" s="125"/>
      <c r="B2" s="126"/>
      <c r="C2" s="127" t="s">
        <v>84</v>
      </c>
      <c r="D2" s="128" t="s">
        <v>157</v>
      </c>
      <c r="E2" s="128" t="s">
        <v>85</v>
      </c>
      <c r="F2" s="128" t="s">
        <v>86</v>
      </c>
      <c r="G2" s="128" t="s">
        <v>87</v>
      </c>
      <c r="H2" s="129">
        <f>SUM(H4:H67)</f>
        <v>0</v>
      </c>
      <c r="I2" s="130" t="s">
        <v>624</v>
      </c>
      <c r="J2" s="130" t="s">
        <v>625</v>
      </c>
      <c r="K2" s="130" t="s">
        <v>626</v>
      </c>
      <c r="M2" s="131" t="s">
        <v>627</v>
      </c>
      <c r="N2" s="131" t="s">
        <v>628</v>
      </c>
      <c r="O2" s="132" t="s">
        <v>629</v>
      </c>
      <c r="R2" s="133" t="s">
        <v>630</v>
      </c>
      <c r="S2" s="134"/>
    </row>
    <row r="3" ht="13.75" customHeight="1" spans="1:20">
      <c r="A3" s="135"/>
      <c r="B3" s="136"/>
      <c r="C3" s="137"/>
      <c r="D3" s="136"/>
      <c r="E3" s="137"/>
      <c r="F3" s="138"/>
      <c r="G3" s="139"/>
      <c r="H3" s="140"/>
      <c r="I3" s="130" t="s">
        <v>631</v>
      </c>
      <c r="J3" s="130" t="s">
        <v>632</v>
      </c>
      <c r="K3" s="130" t="s">
        <v>633</v>
      </c>
      <c r="L3" s="130" t="s">
        <v>634</v>
      </c>
      <c r="M3" s="141">
        <f>SUM(M4:M66)</f>
        <v>0</v>
      </c>
      <c r="N3" s="142">
        <f>SUM(N4:N66)</f>
        <v>0</v>
      </c>
      <c r="O3" s="142">
        <f>SUM(O4:O66)</f>
        <v>0</v>
      </c>
      <c r="P3" s="119" t="s">
        <v>635</v>
      </c>
      <c r="R3" s="143">
        <v>7.3</v>
      </c>
      <c r="S3" s="144"/>
    </row>
    <row r="4" ht="13.75" customHeight="1" spans="1:20">
      <c r="A4" s="145"/>
      <c r="B4" s="146"/>
      <c r="C4" s="147"/>
      <c r="D4" s="148"/>
      <c r="E4" s="147"/>
      <c r="F4" s="149"/>
      <c r="G4" s="150">
        <v>1</v>
      </c>
      <c r="H4" s="151">
        <f t="shared" ref="H4:H51" si="0">F4/G4</f>
        <v>0</v>
      </c>
      <c r="I4" s="120" t="s">
        <v>636</v>
      </c>
      <c r="J4" s="120" t="s">
        <v>637</v>
      </c>
      <c r="K4" s="152">
        <v>0</v>
      </c>
      <c r="L4" s="152">
        <v>0</v>
      </c>
      <c r="M4" s="153">
        <f t="shared" ref="M4:M17" si="1">H4</f>
        <v>0</v>
      </c>
      <c r="O4" s="154">
        <f t="shared" ref="O4:O66" si="2">H4</f>
        <v>0</v>
      </c>
      <c r="P4" s="119" t="s">
        <v>638</v>
      </c>
      <c r="R4" s="155" t="s">
        <v>639</v>
      </c>
      <c r="S4" s="156">
        <f>R3*S3</f>
        <v>0</v>
      </c>
    </row>
    <row r="5" spans="1:20">
      <c r="A5" s="157"/>
      <c r="B5" s="158"/>
      <c r="C5" s="159"/>
      <c r="D5" s="160"/>
      <c r="E5" s="159"/>
      <c r="F5" s="161"/>
      <c r="G5" s="162">
        <v>1</v>
      </c>
      <c r="H5" s="163">
        <f t="shared" si="0"/>
        <v>0</v>
      </c>
      <c r="I5" s="120" t="s">
        <v>636</v>
      </c>
      <c r="J5" s="120" t="s">
        <v>637</v>
      </c>
      <c r="K5" s="152">
        <v>0</v>
      </c>
      <c r="L5" s="152">
        <v>0</v>
      </c>
      <c r="M5" s="153">
        <f t="shared" si="1"/>
        <v>0</v>
      </c>
      <c r="O5" s="154">
        <f t="shared" si="2"/>
        <v>0</v>
      </c>
      <c r="P5" s="119" t="s">
        <v>640</v>
      </c>
      <c r="R5" s="164" t="s">
        <v>641</v>
      </c>
      <c r="S5" s="165"/>
    </row>
    <row r="6" spans="1:20">
      <c r="A6" s="157"/>
      <c r="B6" s="158"/>
      <c r="C6" s="159"/>
      <c r="D6" s="160"/>
      <c r="E6" s="159"/>
      <c r="F6" s="161"/>
      <c r="G6" s="162">
        <v>1</v>
      </c>
      <c r="H6" s="163">
        <f t="shared" si="0"/>
        <v>0</v>
      </c>
      <c r="I6" s="120" t="s">
        <v>636</v>
      </c>
      <c r="J6" s="120" t="s">
        <v>637</v>
      </c>
      <c r="K6" s="152">
        <v>0</v>
      </c>
      <c r="L6" s="152">
        <v>0</v>
      </c>
      <c r="M6" s="153">
        <f t="shared" si="1"/>
        <v>0</v>
      </c>
      <c r="O6" s="154">
        <f t="shared" si="2"/>
        <v>0</v>
      </c>
      <c r="P6" s="119" t="s">
        <v>642</v>
      </c>
      <c r="R6" s="166">
        <v>0.45</v>
      </c>
      <c r="S6" s="167">
        <f>(-S5-S9)</f>
        <v>0</v>
      </c>
    </row>
    <row r="7" spans="1:20">
      <c r="A7" s="157"/>
      <c r="B7" s="158"/>
      <c r="C7" s="159"/>
      <c r="D7" s="160"/>
      <c r="E7" s="159"/>
      <c r="F7" s="161"/>
      <c r="G7" s="162">
        <v>1</v>
      </c>
      <c r="H7" s="163">
        <f t="shared" si="0"/>
        <v>0</v>
      </c>
      <c r="I7" s="120" t="s">
        <v>643</v>
      </c>
      <c r="J7" s="120" t="s">
        <v>637</v>
      </c>
      <c r="K7" s="152">
        <v>0</v>
      </c>
      <c r="L7" s="152">
        <v>0</v>
      </c>
      <c r="M7" s="153">
        <f t="shared" si="1"/>
        <v>0</v>
      </c>
      <c r="O7" s="154">
        <f t="shared" si="2"/>
        <v>0</v>
      </c>
      <c r="P7" s="119" t="s">
        <v>644</v>
      </c>
      <c r="R7" s="168" t="s">
        <v>645</v>
      </c>
      <c r="S7" s="167">
        <f>S5+S6</f>
        <v>0</v>
      </c>
    </row>
    <row r="8" ht="13.75" customHeight="1" spans="1:20">
      <c r="A8" s="157"/>
      <c r="B8" s="158"/>
      <c r="C8" s="159"/>
      <c r="D8" s="160"/>
      <c r="E8" s="159"/>
      <c r="F8" s="161"/>
      <c r="G8" s="162">
        <v>1</v>
      </c>
      <c r="H8" s="163">
        <f t="shared" si="0"/>
        <v>0</v>
      </c>
      <c r="I8" s="120" t="s">
        <v>643</v>
      </c>
      <c r="J8" s="120" t="s">
        <v>637</v>
      </c>
      <c r="K8" s="152">
        <v>0</v>
      </c>
      <c r="L8" s="152">
        <v>0</v>
      </c>
      <c r="M8" s="153">
        <f t="shared" si="1"/>
        <v>0</v>
      </c>
      <c r="O8" s="154">
        <f t="shared" si="2"/>
        <v>0</v>
      </c>
      <c r="P8" s="119" t="s">
        <v>646</v>
      </c>
      <c r="R8" s="169" t="s">
        <v>647</v>
      </c>
      <c r="S8" s="170">
        <f>R3*S7</f>
        <v>0</v>
      </c>
    </row>
    <row r="9" spans="1:20">
      <c r="A9" s="157"/>
      <c r="B9" s="158"/>
      <c r="C9" s="159"/>
      <c r="D9" s="160"/>
      <c r="E9" s="159"/>
      <c r="F9" s="161"/>
      <c r="G9" s="162">
        <v>1</v>
      </c>
      <c r="H9" s="163">
        <f t="shared" si="0"/>
        <v>0</v>
      </c>
      <c r="I9" s="120" t="s">
        <v>636</v>
      </c>
      <c r="J9" s="120" t="s">
        <v>637</v>
      </c>
      <c r="K9" s="152">
        <v>0</v>
      </c>
      <c r="L9" s="152">
        <v>0</v>
      </c>
      <c r="M9" s="153">
        <f t="shared" si="1"/>
        <v>0</v>
      </c>
      <c r="O9" s="154">
        <f t="shared" si="2"/>
        <v>0</v>
      </c>
      <c r="P9" s="119" t="s">
        <v>648</v>
      </c>
      <c r="R9" s="171">
        <v>0.55</v>
      </c>
      <c r="S9" s="172">
        <f>R9*(-S5)</f>
        <v>0</v>
      </c>
    </row>
    <row r="10" ht="13.75" customHeight="1" spans="1:20">
      <c r="A10" s="157"/>
      <c r="B10" s="158"/>
      <c r="C10" s="159"/>
      <c r="D10" s="160"/>
      <c r="E10" s="159"/>
      <c r="F10" s="161"/>
      <c r="G10" s="162">
        <v>1</v>
      </c>
      <c r="H10" s="163">
        <f t="shared" si="0"/>
        <v>0</v>
      </c>
      <c r="I10" s="120" t="s">
        <v>643</v>
      </c>
      <c r="J10" s="120" t="s">
        <v>637</v>
      </c>
      <c r="K10" s="152">
        <v>0</v>
      </c>
      <c r="L10" s="152">
        <v>0</v>
      </c>
      <c r="M10" s="153">
        <f t="shared" si="1"/>
        <v>0</v>
      </c>
      <c r="O10" s="154">
        <f t="shared" si="2"/>
        <v>0</v>
      </c>
      <c r="P10" s="119" t="s">
        <v>649</v>
      </c>
      <c r="R10" s="173" t="s">
        <v>650</v>
      </c>
      <c r="S10" s="174">
        <f>S9*R3</f>
        <v>0</v>
      </c>
    </row>
    <row r="11" spans="1:20">
      <c r="A11" s="157"/>
      <c r="B11" s="158"/>
      <c r="C11" s="159"/>
      <c r="D11" s="160"/>
      <c r="E11" s="159"/>
      <c r="F11" s="175"/>
      <c r="G11" s="162">
        <v>1</v>
      </c>
      <c r="H11" s="163">
        <f t="shared" si="0"/>
        <v>0</v>
      </c>
      <c r="I11" s="120" t="s">
        <v>643</v>
      </c>
      <c r="J11" s="120" t="s">
        <v>637</v>
      </c>
      <c r="K11" s="152">
        <v>0</v>
      </c>
      <c r="L11" s="152">
        <v>0</v>
      </c>
      <c r="M11" s="153">
        <f t="shared" si="1"/>
        <v>0</v>
      </c>
      <c r="O11" s="154">
        <f t="shared" si="2"/>
        <v>0</v>
      </c>
      <c r="P11" s="119" t="s">
        <v>651</v>
      </c>
    </row>
    <row r="12" spans="1:20">
      <c r="A12" s="157"/>
      <c r="B12" s="158"/>
      <c r="C12" s="159"/>
      <c r="D12" s="160"/>
      <c r="E12" s="159"/>
      <c r="F12" s="161"/>
      <c r="G12" s="162">
        <v>1</v>
      </c>
      <c r="H12" s="163">
        <f t="shared" si="0"/>
        <v>0</v>
      </c>
      <c r="I12" s="120" t="s">
        <v>643</v>
      </c>
      <c r="J12" s="120" t="s">
        <v>637</v>
      </c>
      <c r="K12" s="152">
        <v>0</v>
      </c>
      <c r="L12" s="152">
        <v>0</v>
      </c>
      <c r="M12" s="153">
        <f t="shared" si="1"/>
        <v>0</v>
      </c>
      <c r="O12" s="154">
        <f t="shared" si="2"/>
        <v>0</v>
      </c>
      <c r="P12" s="119" t="s">
        <v>652</v>
      </c>
    </row>
    <row r="13" spans="1:20">
      <c r="A13" s="157"/>
      <c r="B13" s="158"/>
      <c r="C13" s="160"/>
      <c r="D13" s="160"/>
      <c r="E13" s="159"/>
      <c r="F13" s="161"/>
      <c r="G13" s="162">
        <v>1</v>
      </c>
      <c r="H13" s="163">
        <f t="shared" si="0"/>
        <v>0</v>
      </c>
      <c r="I13" s="120" t="s">
        <v>643</v>
      </c>
      <c r="J13" s="120" t="s">
        <v>637</v>
      </c>
      <c r="K13" s="152">
        <v>0</v>
      </c>
      <c r="L13" s="152">
        <v>0</v>
      </c>
      <c r="M13" s="153">
        <f t="shared" si="1"/>
        <v>0</v>
      </c>
      <c r="O13" s="154">
        <f t="shared" si="2"/>
        <v>0</v>
      </c>
      <c r="P13" s="119" t="s">
        <v>637</v>
      </c>
    </row>
    <row r="14" spans="1:20">
      <c r="A14" s="157"/>
      <c r="B14" s="158"/>
      <c r="C14" s="159"/>
      <c r="D14" s="160"/>
      <c r="E14" s="159"/>
      <c r="F14" s="161"/>
      <c r="G14" s="162">
        <v>1</v>
      </c>
      <c r="H14" s="163">
        <f t="shared" si="0"/>
        <v>0</v>
      </c>
      <c r="I14" s="120" t="s">
        <v>643</v>
      </c>
      <c r="J14" s="120" t="s">
        <v>637</v>
      </c>
      <c r="K14" s="152">
        <v>0</v>
      </c>
      <c r="L14" s="152">
        <v>0</v>
      </c>
      <c r="M14" s="153">
        <f t="shared" si="1"/>
        <v>0</v>
      </c>
      <c r="O14" s="154">
        <f t="shared" si="2"/>
        <v>0</v>
      </c>
      <c r="P14" s="119" t="s">
        <v>653</v>
      </c>
      <c r="T14" s="119" t="s">
        <v>654</v>
      </c>
    </row>
    <row r="15" spans="1:20">
      <c r="A15" s="157"/>
      <c r="B15" s="158"/>
      <c r="C15" s="159"/>
      <c r="D15" s="160"/>
      <c r="E15" s="159"/>
      <c r="F15" s="161"/>
      <c r="G15" s="162">
        <v>1</v>
      </c>
      <c r="H15" s="163">
        <f t="shared" si="0"/>
        <v>0</v>
      </c>
      <c r="I15" s="120" t="s">
        <v>643</v>
      </c>
      <c r="J15" s="120" t="s">
        <v>637</v>
      </c>
      <c r="K15" s="152">
        <v>0</v>
      </c>
      <c r="L15" s="152">
        <v>0</v>
      </c>
      <c r="M15" s="153">
        <f t="shared" si="1"/>
        <v>0</v>
      </c>
      <c r="O15" s="154">
        <f t="shared" si="2"/>
        <v>0</v>
      </c>
      <c r="P15" s="119" t="s">
        <v>655</v>
      </c>
      <c r="T15" s="119" t="s">
        <v>656</v>
      </c>
    </row>
    <row r="16" spans="1:20">
      <c r="A16" s="157"/>
      <c r="B16" s="158"/>
      <c r="C16" s="159"/>
      <c r="D16" s="160"/>
      <c r="E16" s="159"/>
      <c r="F16" s="161"/>
      <c r="G16" s="162">
        <v>1</v>
      </c>
      <c r="H16" s="163">
        <f t="shared" si="0"/>
        <v>0</v>
      </c>
      <c r="I16" s="120" t="s">
        <v>643</v>
      </c>
      <c r="J16" s="120" t="s">
        <v>637</v>
      </c>
      <c r="K16" s="152">
        <v>0</v>
      </c>
      <c r="L16" s="152">
        <v>0</v>
      </c>
      <c r="M16" s="153">
        <f t="shared" si="1"/>
        <v>0</v>
      </c>
      <c r="O16" s="154">
        <f t="shared" si="2"/>
        <v>0</v>
      </c>
      <c r="P16" s="119" t="s">
        <v>657</v>
      </c>
      <c r="T16" s="119" t="s">
        <v>658</v>
      </c>
    </row>
    <row r="17" spans="1:20">
      <c r="A17" s="157"/>
      <c r="B17" s="158"/>
      <c r="C17" s="159"/>
      <c r="D17" s="160"/>
      <c r="E17" s="159"/>
      <c r="F17" s="161"/>
      <c r="G17" s="162">
        <v>1</v>
      </c>
      <c r="H17" s="163">
        <f t="shared" si="0"/>
        <v>0</v>
      </c>
      <c r="I17" s="120" t="s">
        <v>643</v>
      </c>
      <c r="J17" s="120" t="s">
        <v>637</v>
      </c>
      <c r="K17" s="152">
        <v>0</v>
      </c>
      <c r="L17" s="152">
        <v>0</v>
      </c>
      <c r="M17" s="153">
        <f t="shared" si="1"/>
        <v>0</v>
      </c>
      <c r="O17" s="154">
        <f t="shared" si="2"/>
        <v>0</v>
      </c>
      <c r="P17" s="119" t="s">
        <v>659</v>
      </c>
      <c r="T17" s="119" t="s">
        <v>660</v>
      </c>
    </row>
    <row r="18" spans="1:20">
      <c r="A18" s="157"/>
      <c r="B18" s="158"/>
      <c r="C18" s="159"/>
      <c r="D18" s="160"/>
      <c r="E18" s="159"/>
      <c r="F18" s="161"/>
      <c r="G18" s="162">
        <v>1</v>
      </c>
      <c r="H18" s="163">
        <f t="shared" si="0"/>
        <v>0</v>
      </c>
      <c r="I18" s="120" t="s">
        <v>643</v>
      </c>
      <c r="J18" s="120" t="s">
        <v>653</v>
      </c>
      <c r="K18" s="152">
        <v>0</v>
      </c>
      <c r="L18" s="152">
        <v>0</v>
      </c>
      <c r="O18" s="154">
        <f t="shared" si="2"/>
        <v>0</v>
      </c>
      <c r="P18" s="119" t="s">
        <v>661</v>
      </c>
      <c r="T18" s="119" t="s">
        <v>662</v>
      </c>
    </row>
    <row r="19" spans="1:20">
      <c r="A19" s="157"/>
      <c r="B19" s="160"/>
      <c r="C19" s="159"/>
      <c r="D19" s="160"/>
      <c r="E19" s="159"/>
      <c r="F19" s="161"/>
      <c r="G19" s="162">
        <v>1</v>
      </c>
      <c r="H19" s="163">
        <f t="shared" si="0"/>
        <v>0</v>
      </c>
      <c r="I19" s="120" t="s">
        <v>643</v>
      </c>
      <c r="J19" s="120" t="s">
        <v>653</v>
      </c>
      <c r="K19" s="152">
        <v>0</v>
      </c>
      <c r="L19" s="152">
        <v>0</v>
      </c>
      <c r="O19" s="154">
        <f t="shared" si="2"/>
        <v>0</v>
      </c>
      <c r="P19" s="119" t="s">
        <v>663</v>
      </c>
      <c r="T19" s="119" t="s">
        <v>664</v>
      </c>
    </row>
    <row r="20" spans="1:20">
      <c r="A20" s="157"/>
      <c r="B20" s="158"/>
      <c r="C20" s="159"/>
      <c r="D20" s="160"/>
      <c r="E20" s="159"/>
      <c r="F20" s="161"/>
      <c r="G20" s="162">
        <v>1</v>
      </c>
      <c r="H20" s="163">
        <f t="shared" si="0"/>
        <v>0</v>
      </c>
      <c r="I20" s="120" t="s">
        <v>665</v>
      </c>
      <c r="J20" s="120" t="s">
        <v>637</v>
      </c>
      <c r="K20" s="152">
        <v>0</v>
      </c>
      <c r="L20" s="152">
        <v>0</v>
      </c>
      <c r="M20" s="153">
        <v>0</v>
      </c>
      <c r="O20" s="154">
        <f t="shared" si="2"/>
        <v>0</v>
      </c>
      <c r="P20" s="119" t="s">
        <v>666</v>
      </c>
      <c r="T20" s="119" t="s">
        <v>667</v>
      </c>
    </row>
    <row r="21" spans="1:20">
      <c r="A21" s="157"/>
      <c r="B21" s="158"/>
      <c r="C21" s="159"/>
      <c r="D21" s="160"/>
      <c r="E21" s="159"/>
      <c r="F21" s="161"/>
      <c r="G21" s="162">
        <v>1</v>
      </c>
      <c r="H21" s="163">
        <f t="shared" si="0"/>
        <v>0</v>
      </c>
      <c r="I21" s="120" t="s">
        <v>668</v>
      </c>
      <c r="J21" s="120" t="s">
        <v>637</v>
      </c>
      <c r="K21" s="152">
        <v>0</v>
      </c>
      <c r="L21" s="152">
        <v>0</v>
      </c>
      <c r="M21" s="153">
        <f t="shared" ref="M21:M33" si="3">H21</f>
        <v>0</v>
      </c>
      <c r="O21" s="154">
        <f t="shared" si="2"/>
        <v>0</v>
      </c>
      <c r="P21" s="119" t="s">
        <v>669</v>
      </c>
      <c r="T21" s="119" t="s">
        <v>670</v>
      </c>
    </row>
    <row r="22" spans="1:20">
      <c r="A22" s="157"/>
      <c r="B22" s="158"/>
      <c r="C22" s="159"/>
      <c r="D22" s="160"/>
      <c r="E22" s="159"/>
      <c r="F22" s="161"/>
      <c r="G22" s="162">
        <v>1</v>
      </c>
      <c r="H22" s="163">
        <f t="shared" si="0"/>
        <v>0</v>
      </c>
      <c r="I22" s="120" t="s">
        <v>668</v>
      </c>
      <c r="J22" s="120" t="s">
        <v>637</v>
      </c>
      <c r="K22" s="152">
        <v>0</v>
      </c>
      <c r="L22" s="152">
        <v>0</v>
      </c>
      <c r="M22" s="153">
        <f t="shared" si="3"/>
        <v>0</v>
      </c>
      <c r="O22" s="154">
        <f t="shared" si="2"/>
        <v>0</v>
      </c>
      <c r="P22" s="119" t="s">
        <v>671</v>
      </c>
      <c r="T22" s="119" t="s">
        <v>672</v>
      </c>
    </row>
    <row r="23" spans="1:20">
      <c r="A23" s="157"/>
      <c r="B23" s="158"/>
      <c r="C23" s="159"/>
      <c r="D23" s="160"/>
      <c r="E23" s="159"/>
      <c r="F23" s="161"/>
      <c r="G23" s="162">
        <v>1</v>
      </c>
      <c r="H23" s="163">
        <f t="shared" si="0"/>
        <v>0</v>
      </c>
      <c r="I23" s="120" t="s">
        <v>668</v>
      </c>
      <c r="J23" s="120" t="s">
        <v>637</v>
      </c>
      <c r="K23" s="152">
        <v>0</v>
      </c>
      <c r="L23" s="152">
        <v>0</v>
      </c>
      <c r="M23" s="153">
        <f t="shared" si="3"/>
        <v>0</v>
      </c>
      <c r="O23" s="154">
        <f t="shared" si="2"/>
        <v>0</v>
      </c>
    </row>
    <row r="24" spans="1:20">
      <c r="A24" s="157"/>
      <c r="B24" s="176"/>
      <c r="C24" s="160"/>
      <c r="D24" s="160"/>
      <c r="E24" s="159"/>
      <c r="F24" s="161"/>
      <c r="G24" s="162">
        <v>1</v>
      </c>
      <c r="H24" s="163">
        <f t="shared" si="0"/>
        <v>0</v>
      </c>
      <c r="I24" s="120" t="s">
        <v>668</v>
      </c>
      <c r="J24" s="120" t="s">
        <v>637</v>
      </c>
      <c r="K24" s="152">
        <v>0</v>
      </c>
      <c r="L24" s="152">
        <v>0</v>
      </c>
      <c r="M24" s="153">
        <f t="shared" si="3"/>
        <v>0</v>
      </c>
      <c r="O24" s="154">
        <f t="shared" si="2"/>
        <v>0</v>
      </c>
    </row>
    <row r="25" ht="13.75" customHeight="1" spans="1:20">
      <c r="A25" s="177"/>
      <c r="B25" s="178"/>
      <c r="C25" s="179"/>
      <c r="D25" s="180"/>
      <c r="E25" s="179"/>
      <c r="F25" s="181"/>
      <c r="G25" s="162">
        <v>1</v>
      </c>
      <c r="H25" s="163">
        <f t="shared" si="0"/>
        <v>0</v>
      </c>
      <c r="I25" s="120" t="s">
        <v>668</v>
      </c>
      <c r="J25" s="120" t="s">
        <v>637</v>
      </c>
      <c r="K25" s="152">
        <v>0</v>
      </c>
      <c r="L25" s="152">
        <v>0</v>
      </c>
      <c r="M25" s="153">
        <f t="shared" si="3"/>
        <v>0</v>
      </c>
      <c r="O25" s="154">
        <f t="shared" si="2"/>
        <v>0</v>
      </c>
    </row>
    <row r="26" ht="13.75" customHeight="1" spans="1:20">
      <c r="A26" s="182"/>
      <c r="B26" s="183"/>
      <c r="C26" s="184"/>
      <c r="D26" s="183"/>
      <c r="E26" s="184"/>
      <c r="F26" s="185"/>
      <c r="G26" s="162">
        <v>1</v>
      </c>
      <c r="H26" s="163">
        <f t="shared" si="0"/>
        <v>0</v>
      </c>
      <c r="I26" s="120" t="s">
        <v>665</v>
      </c>
      <c r="J26" s="120" t="s">
        <v>637</v>
      </c>
      <c r="K26" s="152">
        <v>0</v>
      </c>
      <c r="L26" s="152">
        <v>0</v>
      </c>
      <c r="M26" s="153">
        <f t="shared" si="3"/>
        <v>0</v>
      </c>
      <c r="O26" s="154">
        <f t="shared" si="2"/>
        <v>0</v>
      </c>
    </row>
    <row r="27" spans="1:20">
      <c r="A27" s="186"/>
      <c r="B27" s="187"/>
      <c r="C27" s="188"/>
      <c r="D27" s="160"/>
      <c r="E27" s="188"/>
      <c r="F27" s="189"/>
      <c r="G27" s="162">
        <v>1</v>
      </c>
      <c r="H27" s="163">
        <f t="shared" si="0"/>
        <v>0</v>
      </c>
      <c r="I27" s="120" t="s">
        <v>665</v>
      </c>
      <c r="J27" s="120" t="s">
        <v>637</v>
      </c>
      <c r="K27" s="152">
        <v>0</v>
      </c>
      <c r="L27" s="152">
        <v>0</v>
      </c>
      <c r="M27" s="153">
        <f t="shared" si="3"/>
        <v>0</v>
      </c>
      <c r="O27" s="154">
        <f t="shared" si="2"/>
        <v>0</v>
      </c>
      <c r="P27" s="190" t="s">
        <v>673</v>
      </c>
      <c r="Q27" s="191" t="s">
        <v>674</v>
      </c>
    </row>
    <row r="28" spans="1:20">
      <c r="A28" s="186"/>
      <c r="B28" s="187"/>
      <c r="C28" s="192"/>
      <c r="D28" s="187"/>
      <c r="E28" s="192"/>
      <c r="F28" s="189"/>
      <c r="G28" s="162">
        <v>1</v>
      </c>
      <c r="H28" s="163">
        <f t="shared" si="0"/>
        <v>0</v>
      </c>
      <c r="I28" s="120" t="s">
        <v>665</v>
      </c>
      <c r="J28" s="120" t="s">
        <v>637</v>
      </c>
      <c r="K28" s="152">
        <v>0</v>
      </c>
      <c r="L28" s="152">
        <v>0</v>
      </c>
      <c r="M28" s="153">
        <f t="shared" si="3"/>
        <v>0</v>
      </c>
      <c r="O28" s="154">
        <f t="shared" si="2"/>
        <v>0</v>
      </c>
      <c r="P28" s="193" t="s">
        <v>636</v>
      </c>
      <c r="Q28" s="194" t="s">
        <v>669</v>
      </c>
    </row>
    <row r="29" spans="1:20">
      <c r="A29" s="186"/>
      <c r="B29" s="195"/>
      <c r="C29" s="192"/>
      <c r="D29" s="160"/>
      <c r="E29" s="192"/>
      <c r="F29" s="189"/>
      <c r="G29" s="162">
        <v>1</v>
      </c>
      <c r="H29" s="163">
        <f t="shared" si="0"/>
        <v>0</v>
      </c>
      <c r="I29" s="120" t="s">
        <v>665</v>
      </c>
      <c r="J29" s="120" t="s">
        <v>637</v>
      </c>
      <c r="K29" s="152">
        <v>0</v>
      </c>
      <c r="L29" s="152">
        <v>0</v>
      </c>
      <c r="M29" s="153">
        <f t="shared" si="3"/>
        <v>0</v>
      </c>
      <c r="O29" s="154">
        <f t="shared" si="2"/>
        <v>0</v>
      </c>
      <c r="P29" s="193" t="s">
        <v>643</v>
      </c>
      <c r="Q29" s="194" t="s">
        <v>669</v>
      </c>
    </row>
    <row r="30" spans="1:20">
      <c r="A30" s="186"/>
      <c r="B30" s="195"/>
      <c r="C30" s="192"/>
      <c r="D30" s="187"/>
      <c r="E30" s="192"/>
      <c r="F30" s="189"/>
      <c r="G30" s="162">
        <v>1</v>
      </c>
      <c r="H30" s="163">
        <f t="shared" si="0"/>
        <v>0</v>
      </c>
      <c r="I30" s="120" t="s">
        <v>665</v>
      </c>
      <c r="J30" s="120" t="s">
        <v>637</v>
      </c>
      <c r="K30" s="152">
        <v>0</v>
      </c>
      <c r="L30" s="152">
        <v>0</v>
      </c>
      <c r="M30" s="153">
        <f t="shared" si="3"/>
        <v>0</v>
      </c>
      <c r="O30" s="154">
        <f t="shared" si="2"/>
        <v>0</v>
      </c>
      <c r="P30" s="193" t="s">
        <v>668</v>
      </c>
      <c r="Q30" s="194" t="s">
        <v>669</v>
      </c>
    </row>
    <row r="31" spans="1:20">
      <c r="A31" s="186"/>
      <c r="B31" s="187"/>
      <c r="C31" s="188"/>
      <c r="D31" s="160"/>
      <c r="E31" s="188"/>
      <c r="F31" s="175"/>
      <c r="G31" s="162">
        <v>1</v>
      </c>
      <c r="H31" s="163">
        <f t="shared" si="0"/>
        <v>0</v>
      </c>
      <c r="I31" s="120" t="s">
        <v>665</v>
      </c>
      <c r="J31" s="120" t="s">
        <v>637</v>
      </c>
      <c r="K31" s="152">
        <v>0</v>
      </c>
      <c r="L31" s="152">
        <v>0</v>
      </c>
      <c r="M31" s="153">
        <f t="shared" si="3"/>
        <v>0</v>
      </c>
      <c r="O31" s="154">
        <f t="shared" si="2"/>
        <v>0</v>
      </c>
      <c r="P31" s="193" t="s">
        <v>675</v>
      </c>
      <c r="Q31" s="194" t="s">
        <v>671</v>
      </c>
    </row>
    <row r="32" spans="1:20">
      <c r="A32" s="186"/>
      <c r="B32" s="187"/>
      <c r="C32" s="188"/>
      <c r="D32" s="187"/>
      <c r="E32" s="188"/>
      <c r="F32" s="175"/>
      <c r="G32" s="162">
        <v>1</v>
      </c>
      <c r="H32" s="163">
        <f t="shared" si="0"/>
        <v>0</v>
      </c>
      <c r="I32" s="120" t="s">
        <v>665</v>
      </c>
      <c r="J32" s="120" t="s">
        <v>637</v>
      </c>
      <c r="K32" s="152">
        <v>0</v>
      </c>
      <c r="L32" s="152">
        <v>0</v>
      </c>
      <c r="M32" s="153">
        <f t="shared" si="3"/>
        <v>0</v>
      </c>
      <c r="O32" s="154">
        <f t="shared" si="2"/>
        <v>0</v>
      </c>
      <c r="P32" s="193" t="s">
        <v>665</v>
      </c>
      <c r="Q32" s="194" t="s">
        <v>669</v>
      </c>
    </row>
    <row r="33" spans="1:17">
      <c r="A33" s="186"/>
      <c r="B33" s="187"/>
      <c r="C33" s="188"/>
      <c r="D33" s="160"/>
      <c r="E33" s="188"/>
      <c r="F33" s="175"/>
      <c r="G33" s="162">
        <v>1</v>
      </c>
      <c r="H33" s="163">
        <f t="shared" si="0"/>
        <v>0</v>
      </c>
      <c r="I33" s="120" t="s">
        <v>665</v>
      </c>
      <c r="J33" s="120" t="s">
        <v>637</v>
      </c>
      <c r="K33" s="152">
        <v>0</v>
      </c>
      <c r="L33" s="152">
        <v>0</v>
      </c>
      <c r="M33" s="153">
        <f t="shared" si="3"/>
        <v>0</v>
      </c>
      <c r="O33" s="154">
        <f t="shared" si="2"/>
        <v>0</v>
      </c>
      <c r="P33" s="193" t="s">
        <v>676</v>
      </c>
      <c r="Q33" s="194" t="s">
        <v>669</v>
      </c>
    </row>
    <row r="34" ht="13.75" customHeight="1" spans="1:17">
      <c r="A34" s="196"/>
      <c r="B34" s="197"/>
      <c r="C34" s="198"/>
      <c r="D34" s="199"/>
      <c r="E34" s="198"/>
      <c r="F34" s="200"/>
      <c r="G34" s="162">
        <v>1</v>
      </c>
      <c r="H34" s="163">
        <f t="shared" si="0"/>
        <v>0</v>
      </c>
      <c r="I34" s="120" t="s">
        <v>665</v>
      </c>
      <c r="J34" s="120" t="s">
        <v>637</v>
      </c>
      <c r="K34" s="152">
        <v>0</v>
      </c>
      <c r="L34" s="201">
        <v>0.5</v>
      </c>
      <c r="M34" s="153">
        <f>H34*(1-L34)</f>
        <v>0</v>
      </c>
      <c r="O34" s="154">
        <f t="shared" si="2"/>
        <v>0</v>
      </c>
      <c r="P34" s="193" t="s">
        <v>677</v>
      </c>
      <c r="Q34" s="194" t="s">
        <v>669</v>
      </c>
    </row>
    <row r="35" spans="1:17">
      <c r="A35" s="202"/>
      <c r="B35" s="203"/>
      <c r="C35" s="204"/>
      <c r="D35" s="148"/>
      <c r="E35" s="204"/>
      <c r="F35" s="205"/>
      <c r="G35" s="206">
        <v>1</v>
      </c>
      <c r="H35" s="163">
        <f t="shared" si="0"/>
        <v>0</v>
      </c>
      <c r="I35" s="120" t="s">
        <v>676</v>
      </c>
      <c r="J35" s="120" t="s">
        <v>637</v>
      </c>
      <c r="K35" s="152">
        <v>0.3</v>
      </c>
      <c r="L35" s="201">
        <v>0</v>
      </c>
      <c r="M35" s="153">
        <f>H35</f>
        <v>0</v>
      </c>
      <c r="O35" s="154">
        <f t="shared" si="2"/>
        <v>0</v>
      </c>
      <c r="P35" s="193" t="s">
        <v>678</v>
      </c>
      <c r="Q35" s="194" t="s">
        <v>669</v>
      </c>
    </row>
    <row r="36" spans="1:17">
      <c r="A36" s="186"/>
      <c r="B36" s="176"/>
      <c r="C36" s="188"/>
      <c r="D36" s="160"/>
      <c r="E36" s="188"/>
      <c r="F36" s="207"/>
      <c r="G36" s="208">
        <v>1</v>
      </c>
      <c r="H36" s="175">
        <f t="shared" si="0"/>
        <v>0</v>
      </c>
      <c r="I36" s="120" t="s">
        <v>678</v>
      </c>
      <c r="J36" s="120" t="s">
        <v>637</v>
      </c>
      <c r="K36" s="152">
        <v>0.3</v>
      </c>
      <c r="L36" s="201">
        <v>0</v>
      </c>
      <c r="M36" s="153">
        <f>H36</f>
        <v>0</v>
      </c>
      <c r="O36" s="154">
        <f t="shared" si="2"/>
        <v>0</v>
      </c>
      <c r="P36" s="193" t="s">
        <v>679</v>
      </c>
      <c r="Q36" s="194" t="s">
        <v>669</v>
      </c>
    </row>
    <row r="37" spans="1:17">
      <c r="A37" s="186"/>
      <c r="B37" s="176"/>
      <c r="C37" s="188"/>
      <c r="D37" s="160"/>
      <c r="E37" s="188"/>
      <c r="F37" s="207"/>
      <c r="G37" s="208">
        <v>1</v>
      </c>
      <c r="H37" s="175">
        <f t="shared" si="0"/>
        <v>0</v>
      </c>
      <c r="I37" s="120" t="s">
        <v>676</v>
      </c>
      <c r="J37" s="120" t="s">
        <v>637</v>
      </c>
      <c r="K37" s="152">
        <v>0</v>
      </c>
      <c r="L37" s="201">
        <v>0</v>
      </c>
      <c r="M37" s="153">
        <f>H37*Q43/3</f>
        <v>0</v>
      </c>
      <c r="O37" s="154">
        <f t="shared" si="2"/>
        <v>0</v>
      </c>
      <c r="P37" s="193" t="s">
        <v>680</v>
      </c>
      <c r="Q37" s="194" t="s">
        <v>669</v>
      </c>
    </row>
    <row r="38" spans="1:17">
      <c r="A38" s="186"/>
      <c r="B38" s="176"/>
      <c r="C38" s="188"/>
      <c r="D38" s="160"/>
      <c r="E38" s="188"/>
      <c r="F38" s="207"/>
      <c r="G38" s="208">
        <v>1</v>
      </c>
      <c r="H38" s="175">
        <f t="shared" si="0"/>
        <v>0</v>
      </c>
      <c r="I38" s="120" t="s">
        <v>665</v>
      </c>
      <c r="J38" s="120" t="s">
        <v>637</v>
      </c>
      <c r="K38" s="152">
        <v>0.3</v>
      </c>
      <c r="L38" s="201">
        <v>0</v>
      </c>
      <c r="M38" s="153">
        <f>H38</f>
        <v>0</v>
      </c>
      <c r="O38" s="154">
        <f t="shared" si="2"/>
        <v>0</v>
      </c>
      <c r="P38" s="193" t="s">
        <v>681</v>
      </c>
      <c r="Q38" s="194" t="s">
        <v>669</v>
      </c>
    </row>
    <row r="39" spans="1:17">
      <c r="A39" s="186"/>
      <c r="B39" s="176"/>
      <c r="C39" s="188"/>
      <c r="D39" s="160"/>
      <c r="E39" s="188"/>
      <c r="F39" s="207"/>
      <c r="G39" s="208">
        <v>1</v>
      </c>
      <c r="H39" s="175">
        <f t="shared" si="0"/>
        <v>0</v>
      </c>
      <c r="I39" s="120" t="s">
        <v>665</v>
      </c>
      <c r="J39" s="120" t="s">
        <v>637</v>
      </c>
      <c r="K39" s="152">
        <v>0.3</v>
      </c>
      <c r="L39" s="201">
        <v>0.5</v>
      </c>
      <c r="M39" s="153">
        <f>H39</f>
        <v>0</v>
      </c>
      <c r="O39" s="154">
        <f t="shared" si="2"/>
        <v>0</v>
      </c>
      <c r="P39" s="193" t="s">
        <v>682</v>
      </c>
      <c r="Q39" s="194" t="s">
        <v>669</v>
      </c>
    </row>
    <row r="40" spans="1:17">
      <c r="A40" s="186"/>
      <c r="B40" s="176"/>
      <c r="C40" s="188"/>
      <c r="D40" s="160"/>
      <c r="E40" s="188"/>
      <c r="F40" s="207"/>
      <c r="G40" s="208">
        <v>1</v>
      </c>
      <c r="H40" s="175">
        <f t="shared" si="0"/>
        <v>0</v>
      </c>
      <c r="I40" s="120" t="s">
        <v>636</v>
      </c>
      <c r="J40" s="120" t="s">
        <v>637</v>
      </c>
      <c r="K40" s="152">
        <v>0.3</v>
      </c>
      <c r="L40" s="201">
        <v>0.1</v>
      </c>
      <c r="M40" s="153">
        <f>H40</f>
        <v>0</v>
      </c>
      <c r="O40" s="154">
        <f t="shared" si="2"/>
        <v>0</v>
      </c>
      <c r="P40" s="209" t="s">
        <v>633</v>
      </c>
      <c r="Q40" s="194" t="s">
        <v>661</v>
      </c>
    </row>
    <row r="41" spans="1:17">
      <c r="A41" s="186"/>
      <c r="B41" s="176"/>
      <c r="C41" s="188"/>
      <c r="D41" s="160"/>
      <c r="E41" s="188"/>
      <c r="F41" s="207"/>
      <c r="G41" s="208">
        <v>1</v>
      </c>
      <c r="H41" s="175">
        <f t="shared" si="0"/>
        <v>0</v>
      </c>
      <c r="I41" s="120" t="s">
        <v>643</v>
      </c>
      <c r="J41" s="120" t="s">
        <v>637</v>
      </c>
      <c r="K41" s="152">
        <v>0</v>
      </c>
      <c r="L41" s="201">
        <v>0</v>
      </c>
      <c r="M41" s="153">
        <f>H41</f>
        <v>0</v>
      </c>
      <c r="O41" s="154">
        <f t="shared" si="2"/>
        <v>0</v>
      </c>
      <c r="P41" s="210" t="s">
        <v>683</v>
      </c>
      <c r="Q41" s="211" t="s">
        <v>666</v>
      </c>
    </row>
    <row r="42" spans="1:17">
      <c r="A42" s="186"/>
      <c r="B42" s="176"/>
      <c r="C42" s="212"/>
      <c r="D42" s="160"/>
      <c r="E42" s="212"/>
      <c r="F42" s="207"/>
      <c r="G42" s="208">
        <v>1</v>
      </c>
      <c r="H42" s="175">
        <f t="shared" si="0"/>
        <v>0</v>
      </c>
      <c r="I42" s="120" t="s">
        <v>665</v>
      </c>
      <c r="J42" s="120" t="s">
        <v>637</v>
      </c>
      <c r="K42" s="152">
        <v>0</v>
      </c>
      <c r="L42" s="201">
        <v>0.5</v>
      </c>
      <c r="M42" s="153">
        <f>H42</f>
        <v>0</v>
      </c>
      <c r="O42" s="154">
        <f t="shared" si="2"/>
        <v>0</v>
      </c>
      <c r="P42" s="210" t="s">
        <v>684</v>
      </c>
      <c r="Q42" s="194">
        <v>30</v>
      </c>
    </row>
    <row r="43" ht="13.75" customHeight="1" spans="1:17">
      <c r="A43" s="186"/>
      <c r="B43" s="176"/>
      <c r="C43" s="212"/>
      <c r="D43" s="160"/>
      <c r="E43" s="212"/>
      <c r="F43" s="207"/>
      <c r="G43" s="208">
        <v>1</v>
      </c>
      <c r="H43" s="175">
        <f t="shared" si="0"/>
        <v>0</v>
      </c>
      <c r="I43" s="120" t="s">
        <v>665</v>
      </c>
      <c r="J43" s="120" t="s">
        <v>653</v>
      </c>
      <c r="K43" s="152">
        <v>0</v>
      </c>
      <c r="L43" s="201">
        <v>0</v>
      </c>
      <c r="O43" s="154">
        <f t="shared" si="2"/>
        <v>0</v>
      </c>
      <c r="P43" s="213" t="s">
        <v>685</v>
      </c>
      <c r="Q43" s="214">
        <v>1</v>
      </c>
    </row>
    <row r="44" ht="13.75" customHeight="1" spans="1:17">
      <c r="A44" s="186"/>
      <c r="B44" s="176"/>
      <c r="C44" s="212"/>
      <c r="D44" s="160"/>
      <c r="E44" s="212"/>
      <c r="F44" s="215"/>
      <c r="G44" s="208">
        <v>1</v>
      </c>
      <c r="H44" s="175">
        <f t="shared" si="0"/>
        <v>0</v>
      </c>
      <c r="I44" s="120" t="s">
        <v>665</v>
      </c>
      <c r="J44" s="120" t="s">
        <v>653</v>
      </c>
      <c r="K44" s="152">
        <v>0</v>
      </c>
      <c r="L44" s="201">
        <v>0</v>
      </c>
      <c r="O44" s="154">
        <f t="shared" si="2"/>
        <v>0</v>
      </c>
    </row>
    <row r="45" spans="1:17">
      <c r="A45" s="145"/>
      <c r="B45" s="148"/>
      <c r="C45" s="148"/>
      <c r="D45" s="148"/>
      <c r="E45" s="147"/>
      <c r="F45" s="216"/>
      <c r="G45" s="150">
        <v>1</v>
      </c>
      <c r="H45" s="216">
        <f t="shared" si="0"/>
        <v>0</v>
      </c>
      <c r="I45" s="120" t="s">
        <v>676</v>
      </c>
      <c r="J45" s="120" t="s">
        <v>637</v>
      </c>
      <c r="K45" s="152">
        <v>0</v>
      </c>
      <c r="L45" s="201">
        <v>0</v>
      </c>
      <c r="M45" s="153">
        <f>H45</f>
        <v>0</v>
      </c>
      <c r="O45" s="154">
        <f t="shared" si="2"/>
        <v>0</v>
      </c>
    </row>
    <row r="46" spans="1:17">
      <c r="A46" s="157"/>
      <c r="B46" s="160"/>
      <c r="C46" s="159"/>
      <c r="D46" s="176"/>
      <c r="E46" s="159"/>
      <c r="F46" s="175"/>
      <c r="G46" s="217">
        <v>1</v>
      </c>
      <c r="H46" s="175">
        <f t="shared" si="0"/>
        <v>0</v>
      </c>
      <c r="I46" s="120" t="s">
        <v>676</v>
      </c>
      <c r="J46" s="120" t="s">
        <v>637</v>
      </c>
      <c r="K46" s="152">
        <v>0</v>
      </c>
      <c r="L46" s="201">
        <v>0</v>
      </c>
      <c r="M46" s="153">
        <f>H46</f>
        <v>0</v>
      </c>
      <c r="O46" s="154">
        <f t="shared" si="2"/>
        <v>0</v>
      </c>
    </row>
    <row r="47" spans="1:17">
      <c r="A47" s="157"/>
      <c r="B47" s="160"/>
      <c r="D47" s="176"/>
      <c r="E47" s="159"/>
      <c r="F47" s="175"/>
      <c r="G47" s="217">
        <v>1</v>
      </c>
      <c r="H47" s="175">
        <f t="shared" si="0"/>
        <v>0</v>
      </c>
      <c r="I47" s="120" t="s">
        <v>676</v>
      </c>
      <c r="J47" s="120" t="s">
        <v>637</v>
      </c>
      <c r="K47" s="152">
        <v>0</v>
      </c>
      <c r="L47" s="201">
        <v>0</v>
      </c>
      <c r="M47" s="153">
        <f>H47*Q42/45</f>
        <v>0</v>
      </c>
      <c r="O47" s="154">
        <f t="shared" si="2"/>
        <v>0</v>
      </c>
    </row>
    <row r="48" ht="13.75" customHeight="1" spans="1:17">
      <c r="A48" s="218"/>
      <c r="B48" s="199"/>
      <c r="C48" s="219"/>
      <c r="D48" s="220"/>
      <c r="E48" s="219"/>
      <c r="F48" s="221"/>
      <c r="G48" s="222">
        <v>1</v>
      </c>
      <c r="H48" s="221">
        <f t="shared" si="0"/>
        <v>0</v>
      </c>
      <c r="I48" s="120" t="s">
        <v>676</v>
      </c>
      <c r="J48" s="120" t="s">
        <v>637</v>
      </c>
      <c r="K48" s="152">
        <v>0</v>
      </c>
      <c r="L48" s="201">
        <v>0</v>
      </c>
      <c r="M48" s="153">
        <f>H48</f>
        <v>0</v>
      </c>
      <c r="O48" s="154">
        <f t="shared" si="2"/>
        <v>0</v>
      </c>
    </row>
    <row r="49" spans="1:15">
      <c r="A49" s="202"/>
      <c r="B49" s="148"/>
      <c r="C49" s="223"/>
      <c r="D49" s="148"/>
      <c r="E49" s="223"/>
      <c r="F49" s="216"/>
      <c r="G49" s="206">
        <v>7.05</v>
      </c>
      <c r="H49" s="216">
        <f t="shared" si="0"/>
        <v>0</v>
      </c>
      <c r="I49" s="120" t="s">
        <v>665</v>
      </c>
      <c r="J49" s="120" t="s">
        <v>637</v>
      </c>
      <c r="K49" s="152">
        <v>0</v>
      </c>
      <c r="L49" s="201">
        <v>0</v>
      </c>
      <c r="M49" s="153">
        <f>H49</f>
        <v>0</v>
      </c>
      <c r="O49" s="154">
        <f t="shared" si="2"/>
        <v>0</v>
      </c>
    </row>
    <row r="50" spans="1:15">
      <c r="A50" s="186"/>
      <c r="B50" s="160"/>
      <c r="C50" s="212"/>
      <c r="D50" s="160"/>
      <c r="E50" s="212"/>
      <c r="F50" s="175"/>
      <c r="G50" s="208">
        <v>1</v>
      </c>
      <c r="H50" s="175">
        <f t="shared" si="0"/>
        <v>0</v>
      </c>
      <c r="I50" s="120" t="s">
        <v>665</v>
      </c>
      <c r="J50" s="120" t="s">
        <v>637</v>
      </c>
      <c r="K50" s="152">
        <v>0</v>
      </c>
      <c r="L50" s="201">
        <v>0</v>
      </c>
      <c r="M50" s="153">
        <f>H50</f>
        <v>0</v>
      </c>
      <c r="O50" s="154">
        <f t="shared" si="2"/>
        <v>0</v>
      </c>
    </row>
    <row r="51" spans="1:15">
      <c r="A51" s="186"/>
      <c r="B51" s="160"/>
      <c r="C51" s="212"/>
      <c r="D51" s="160"/>
      <c r="E51" s="212"/>
      <c r="F51" s="175"/>
      <c r="G51" s="208">
        <v>1</v>
      </c>
      <c r="H51" s="175">
        <f t="shared" si="0"/>
        <v>0</v>
      </c>
      <c r="I51" s="120" t="s">
        <v>665</v>
      </c>
      <c r="J51" s="120" t="s">
        <v>637</v>
      </c>
      <c r="K51" s="152">
        <v>0</v>
      </c>
      <c r="L51" s="201">
        <v>0</v>
      </c>
      <c r="M51" s="153">
        <f>H51</f>
        <v>0</v>
      </c>
      <c r="O51" s="154">
        <f t="shared" si="2"/>
        <v>0</v>
      </c>
    </row>
    <row r="52" spans="1:15">
      <c r="A52" s="186"/>
      <c r="B52" s="187"/>
      <c r="C52" s="188"/>
      <c r="D52" s="160"/>
      <c r="E52" s="188"/>
      <c r="F52" s="175"/>
      <c r="G52" s="208">
        <v>1</v>
      </c>
      <c r="H52" s="175">
        <f>F52*G52</f>
        <v>0</v>
      </c>
      <c r="I52" s="120" t="s">
        <v>665</v>
      </c>
      <c r="J52" s="120" t="s">
        <v>637</v>
      </c>
      <c r="K52" s="152">
        <v>0</v>
      </c>
      <c r="L52" s="201">
        <v>0</v>
      </c>
      <c r="M52" s="153">
        <f>H52</f>
        <v>0</v>
      </c>
      <c r="O52" s="154">
        <f t="shared" si="2"/>
        <v>0</v>
      </c>
    </row>
    <row r="53" spans="1:15">
      <c r="A53" s="186"/>
      <c r="B53" s="160"/>
      <c r="C53" s="212"/>
      <c r="D53" s="160"/>
      <c r="E53" s="212"/>
      <c r="F53" s="175"/>
      <c r="G53" s="208">
        <v>1</v>
      </c>
      <c r="H53" s="175">
        <f t="shared" ref="H53:H66" si="4">F53/G53</f>
        <v>0</v>
      </c>
      <c r="I53" s="120" t="s">
        <v>665</v>
      </c>
      <c r="J53" s="120" t="s">
        <v>637</v>
      </c>
      <c r="K53" s="152">
        <v>0</v>
      </c>
      <c r="L53" s="201">
        <v>0</v>
      </c>
      <c r="M53" s="153">
        <f>H53*0</f>
        <v>0</v>
      </c>
      <c r="O53" s="154">
        <f t="shared" si="2"/>
        <v>0</v>
      </c>
    </row>
    <row r="54" spans="1:15">
      <c r="A54" s="186"/>
      <c r="B54" s="160"/>
      <c r="C54" s="212"/>
      <c r="D54" s="160"/>
      <c r="E54" s="212"/>
      <c r="F54" s="175"/>
      <c r="G54" s="208">
        <v>1</v>
      </c>
      <c r="H54" s="175">
        <f t="shared" si="4"/>
        <v>0</v>
      </c>
      <c r="I54" s="120" t="s">
        <v>665</v>
      </c>
      <c r="J54" s="120" t="s">
        <v>637</v>
      </c>
      <c r="K54" s="152">
        <v>0</v>
      </c>
      <c r="L54" s="201">
        <v>0</v>
      </c>
      <c r="M54" s="153">
        <f>H54*0</f>
        <v>0</v>
      </c>
      <c r="O54" s="154">
        <f t="shared" si="2"/>
        <v>0</v>
      </c>
    </row>
    <row r="55" spans="1:15">
      <c r="A55" s="157"/>
      <c r="B55" s="212"/>
      <c r="C55" s="212"/>
      <c r="D55" s="160"/>
      <c r="E55" s="212"/>
      <c r="F55" s="224"/>
      <c r="G55" s="225">
        <v>7.05</v>
      </c>
      <c r="H55" s="175">
        <f t="shared" si="4"/>
        <v>0</v>
      </c>
      <c r="I55" s="120" t="s">
        <v>665</v>
      </c>
      <c r="J55" s="120" t="s">
        <v>637</v>
      </c>
      <c r="K55" s="152">
        <v>0</v>
      </c>
      <c r="L55" s="201">
        <v>0</v>
      </c>
      <c r="M55" s="153">
        <f>H55*0</f>
        <v>0</v>
      </c>
      <c r="O55" s="154">
        <f t="shared" si="2"/>
        <v>0</v>
      </c>
    </row>
    <row r="56" ht="13.75" customHeight="1" spans="1:15">
      <c r="A56" s="177"/>
      <c r="B56" s="226"/>
      <c r="C56" s="226"/>
      <c r="D56" s="180"/>
      <c r="E56" s="226"/>
      <c r="F56" s="181"/>
      <c r="G56" s="227">
        <v>1</v>
      </c>
      <c r="H56" s="228">
        <f t="shared" si="4"/>
        <v>0</v>
      </c>
      <c r="I56" s="120" t="s">
        <v>665</v>
      </c>
      <c r="J56" s="120" t="s">
        <v>637</v>
      </c>
      <c r="K56" s="152">
        <v>0</v>
      </c>
      <c r="L56" s="201">
        <v>0</v>
      </c>
      <c r="M56" s="153">
        <f>H56*0</f>
        <v>0</v>
      </c>
      <c r="O56" s="154">
        <f t="shared" si="2"/>
        <v>0</v>
      </c>
    </row>
    <row r="57" spans="1:15">
      <c r="A57" s="229"/>
      <c r="B57" s="230"/>
      <c r="C57" s="230"/>
      <c r="D57" s="231"/>
      <c r="E57" s="230"/>
      <c r="F57" s="232"/>
      <c r="G57" s="233">
        <v>1</v>
      </c>
      <c r="H57" s="232">
        <f t="shared" si="4"/>
        <v>0</v>
      </c>
      <c r="I57" s="120" t="s">
        <v>665</v>
      </c>
      <c r="J57" s="120" t="s">
        <v>637</v>
      </c>
      <c r="K57" s="152">
        <v>0</v>
      </c>
      <c r="L57" s="201">
        <v>0</v>
      </c>
      <c r="M57" s="153">
        <f>H57</f>
        <v>0</v>
      </c>
      <c r="O57" s="154">
        <f t="shared" si="2"/>
        <v>0</v>
      </c>
    </row>
    <row r="58" spans="1:15">
      <c r="A58" s="157"/>
      <c r="B58" s="212"/>
      <c r="C58" s="212"/>
      <c r="D58" s="160"/>
      <c r="E58" s="212"/>
      <c r="F58" s="175"/>
      <c r="G58" s="225">
        <v>1</v>
      </c>
      <c r="H58" s="175">
        <f t="shared" si="4"/>
        <v>0</v>
      </c>
      <c r="I58" s="120" t="s">
        <v>665</v>
      </c>
      <c r="J58" s="120" t="s">
        <v>653</v>
      </c>
      <c r="K58" s="152">
        <v>0</v>
      </c>
      <c r="L58" s="201">
        <v>0</v>
      </c>
      <c r="O58" s="154">
        <f t="shared" si="2"/>
        <v>0</v>
      </c>
    </row>
    <row r="59" spans="1:15">
      <c r="A59" s="186"/>
      <c r="B59" s="160"/>
      <c r="C59" s="212"/>
      <c r="D59" s="160"/>
      <c r="E59" s="212"/>
      <c r="F59" s="175"/>
      <c r="G59" s="208">
        <v>1</v>
      </c>
      <c r="H59" s="175">
        <f t="shared" si="4"/>
        <v>0</v>
      </c>
      <c r="I59" s="120" t="s">
        <v>665</v>
      </c>
      <c r="J59" s="120" t="s">
        <v>653</v>
      </c>
      <c r="K59" s="152">
        <v>0</v>
      </c>
      <c r="L59" s="201">
        <v>0</v>
      </c>
      <c r="O59" s="154">
        <f t="shared" si="2"/>
        <v>0</v>
      </c>
    </row>
    <row r="60" spans="1:15">
      <c r="A60" s="186"/>
      <c r="B60" s="160"/>
      <c r="C60" s="212"/>
      <c r="D60" s="160"/>
      <c r="E60" s="212"/>
      <c r="F60" s="175"/>
      <c r="G60" s="225">
        <v>1</v>
      </c>
      <c r="H60" s="175">
        <f t="shared" si="4"/>
        <v>0</v>
      </c>
      <c r="I60" s="120" t="s">
        <v>665</v>
      </c>
      <c r="J60" s="120" t="s">
        <v>653</v>
      </c>
      <c r="K60" s="152">
        <v>0</v>
      </c>
      <c r="L60" s="201">
        <v>0</v>
      </c>
      <c r="O60" s="154">
        <f t="shared" si="2"/>
        <v>0</v>
      </c>
    </row>
    <row r="61" spans="1:15">
      <c r="A61" s="157"/>
      <c r="B61" s="212"/>
      <c r="C61" s="212"/>
      <c r="D61" s="234"/>
      <c r="E61" s="212"/>
      <c r="F61" s="175"/>
      <c r="G61" s="225">
        <v>1</v>
      </c>
      <c r="H61" s="175">
        <f t="shared" si="4"/>
        <v>0</v>
      </c>
      <c r="I61" s="120" t="s">
        <v>665</v>
      </c>
      <c r="J61" s="120" t="s">
        <v>653</v>
      </c>
      <c r="K61" s="152">
        <v>0</v>
      </c>
      <c r="L61" s="201">
        <v>0</v>
      </c>
      <c r="O61" s="154">
        <f t="shared" si="2"/>
        <v>0</v>
      </c>
    </row>
    <row r="62" ht="13.75" customHeight="1" spans="1:15">
      <c r="A62" s="177"/>
      <c r="B62" s="226"/>
      <c r="C62" s="226"/>
      <c r="D62" s="235"/>
      <c r="E62" s="226"/>
      <c r="F62" s="228"/>
      <c r="G62" s="227">
        <v>1</v>
      </c>
      <c r="H62" s="228">
        <f t="shared" si="4"/>
        <v>0</v>
      </c>
      <c r="I62" s="120" t="s">
        <v>665</v>
      </c>
      <c r="J62" s="120" t="s">
        <v>653</v>
      </c>
      <c r="K62" s="152">
        <v>0</v>
      </c>
      <c r="L62" s="201">
        <v>0</v>
      </c>
      <c r="O62" s="154">
        <f t="shared" si="2"/>
        <v>0</v>
      </c>
    </row>
    <row r="63" spans="1:15">
      <c r="A63" s="182"/>
      <c r="B63" s="183"/>
      <c r="C63" s="236"/>
      <c r="D63" s="231"/>
      <c r="E63" s="236"/>
      <c r="F63" s="232"/>
      <c r="G63" s="237">
        <v>1</v>
      </c>
      <c r="H63" s="232">
        <f t="shared" si="4"/>
        <v>0</v>
      </c>
      <c r="I63" s="120" t="s">
        <v>665</v>
      </c>
      <c r="J63" s="120" t="s">
        <v>637</v>
      </c>
      <c r="K63" s="152">
        <v>0</v>
      </c>
      <c r="L63" s="201">
        <v>0</v>
      </c>
      <c r="M63" s="153">
        <f>H63</f>
        <v>0</v>
      </c>
      <c r="O63" s="154">
        <f t="shared" si="2"/>
        <v>0</v>
      </c>
    </row>
    <row r="64" spans="1:15">
      <c r="A64" s="157"/>
      <c r="B64" s="212"/>
      <c r="C64" s="212"/>
      <c r="D64" s="160"/>
      <c r="E64" s="212"/>
      <c r="F64" s="161"/>
      <c r="G64" s="225">
        <v>1</v>
      </c>
      <c r="H64" s="175">
        <f t="shared" si="4"/>
        <v>0</v>
      </c>
      <c r="I64" s="120" t="s">
        <v>665</v>
      </c>
      <c r="J64" s="120" t="s">
        <v>653</v>
      </c>
      <c r="K64" s="152">
        <v>0</v>
      </c>
      <c r="L64" s="201">
        <v>0</v>
      </c>
      <c r="M64" s="153">
        <v>0</v>
      </c>
      <c r="O64" s="154">
        <f t="shared" si="2"/>
        <v>0</v>
      </c>
    </row>
    <row r="65" spans="1:15">
      <c r="A65" s="157"/>
      <c r="B65" s="212"/>
      <c r="C65" s="212"/>
      <c r="D65" s="160"/>
      <c r="E65" s="212"/>
      <c r="F65" s="161"/>
      <c r="G65" s="225">
        <v>1</v>
      </c>
      <c r="H65" s="175">
        <f t="shared" si="4"/>
        <v>0</v>
      </c>
      <c r="I65" s="120" t="s">
        <v>665</v>
      </c>
      <c r="J65" s="120" t="s">
        <v>653</v>
      </c>
      <c r="K65" s="152">
        <v>0</v>
      </c>
      <c r="L65" s="201">
        <v>0</v>
      </c>
      <c r="M65" s="153">
        <v>0</v>
      </c>
      <c r="O65" s="154">
        <f t="shared" si="2"/>
        <v>0</v>
      </c>
    </row>
    <row r="66" ht="13.75" customHeight="1" spans="1:15">
      <c r="A66" s="177"/>
      <c r="B66" s="226"/>
      <c r="C66" s="226"/>
      <c r="D66" s="180"/>
      <c r="E66" s="226"/>
      <c r="F66" s="181"/>
      <c r="G66" s="238">
        <v>1</v>
      </c>
      <c r="H66" s="228">
        <f t="shared" si="4"/>
        <v>0</v>
      </c>
      <c r="I66" s="120" t="s">
        <v>665</v>
      </c>
      <c r="J66" s="120" t="s">
        <v>653</v>
      </c>
      <c r="K66" s="152">
        <v>0</v>
      </c>
      <c r="L66" s="201">
        <v>0</v>
      </c>
      <c r="M66" s="153">
        <v>0</v>
      </c>
      <c r="O66" s="154">
        <f t="shared" si="2"/>
        <v>0</v>
      </c>
    </row>
  </sheetData>
  <mergeCells count="2">
    <mergeCell ref="K2:L2"/>
    <mergeCell ref="R2:S2"/>
  </mergeCells>
  <conditionalFormatting sqref="H3:H66">
    <cfRule type="cellIs" dxfId="0" priority="7" stopIfTrue="1" operator="equal">
      <formula>0</formula>
    </cfRule>
  </conditionalFormatting>
  <dataValidations count="5">
    <dataValidation type="list" allowBlank="1" showInputMessage="1" showErrorMessage="1" sqref="Q40">
      <formula1>$P$17:$P$18</formula1>
    </dataValidation>
    <dataValidation type="list" allowBlank="1" showInputMessage="1" showErrorMessage="1" sqref="Q41">
      <formula1>$P$19:$P$20</formula1>
    </dataValidation>
    <dataValidation type="list" allowBlank="1" showInputMessage="1" showErrorMessage="1" sqref="I4:I66">
      <formula1>$P$28:$P$39</formula1>
    </dataValidation>
    <dataValidation type="list" allowBlank="1" showInputMessage="1" showErrorMessage="1" sqref="J4:J66">
      <formula1>$P$13:$P$14</formula1>
    </dataValidation>
    <dataValidation type="list" allowBlank="1" showInputMessage="1" showErrorMessage="1" sqref="Q28:Q39">
      <formula1>$P$21:$P$22</formula1>
    </dataValidation>
  </dataValidation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165"/>
  <sheetViews>
    <sheetView zoomScale="70" zoomScaleNormal="70" topLeftCell="A16" workbookViewId="0">
      <selection activeCell="H39" sqref="H39:H46"/>
    </sheetView>
  </sheetViews>
  <sheetFormatPr defaultColWidth="8.72727272727273" defaultRowHeight="12.5"/>
  <cols>
    <col min="3" max="3" width="13.6363636363636" customWidth="1"/>
    <col min="4" max="4" width="59.4545454545455" customWidth="1"/>
    <col min="5" max="5" width="18.7272727272727" customWidth="1"/>
    <col min="7" max="7" width="12.6363636363636" customWidth="1"/>
    <col min="8" max="8" width="57.7272727272727" customWidth="1"/>
    <col min="9" max="9" width="77.5454545454545" customWidth="1"/>
  </cols>
  <sheetData>
    <row r="1" ht="13.25" customHeight="1"/>
    <row r="2" ht="13.75" customHeight="1" spans="3:9">
      <c r="C2" s="56" t="s">
        <v>686</v>
      </c>
      <c r="D2" s="2"/>
      <c r="E2" s="57"/>
      <c r="G2" s="58" t="s">
        <v>687</v>
      </c>
      <c r="H2" s="59"/>
    </row>
    <row r="3" ht="14.75" customHeight="1" spans="3:9">
      <c r="C3" s="60" t="s">
        <v>190</v>
      </c>
      <c r="D3" s="1812" t="s">
        <v>688</v>
      </c>
      <c r="E3" s="62" t="s">
        <v>689</v>
      </c>
      <c r="G3" s="63" t="s">
        <v>190</v>
      </c>
      <c r="H3" s="64" t="s">
        <v>80</v>
      </c>
    </row>
    <row r="4" ht="13" customHeight="1" spans="3:9">
      <c r="C4" s="65">
        <v>1000000</v>
      </c>
      <c r="D4" s="1813" t="s">
        <v>690</v>
      </c>
      <c r="E4" s="67"/>
      <c r="G4" s="68">
        <v>10000001</v>
      </c>
      <c r="H4" s="69" t="s">
        <v>691</v>
      </c>
      <c r="I4" s="70" t="s">
        <v>692</v>
      </c>
    </row>
    <row r="5" ht="13" spans="3:9">
      <c r="C5" s="71">
        <v>1000001</v>
      </c>
      <c r="D5" s="1814" t="s">
        <v>693</v>
      </c>
      <c r="E5" s="73" t="s">
        <v>694</v>
      </c>
      <c r="G5" s="74">
        <v>10000002</v>
      </c>
      <c r="H5" s="75" t="s">
        <v>695</v>
      </c>
      <c r="I5" s="70" t="s">
        <v>696</v>
      </c>
    </row>
    <row r="6" ht="13" spans="3:9">
      <c r="C6" s="71">
        <v>1000002</v>
      </c>
      <c r="D6" s="76" t="s">
        <v>697</v>
      </c>
      <c r="E6" s="73" t="s">
        <v>694</v>
      </c>
      <c r="G6" s="74">
        <v>10000003</v>
      </c>
      <c r="H6" s="75" t="s">
        <v>698</v>
      </c>
      <c r="I6" s="70" t="s">
        <v>699</v>
      </c>
    </row>
    <row r="7" ht="13" spans="3:9">
      <c r="C7" s="77">
        <v>10000021</v>
      </c>
      <c r="D7" s="78" t="s">
        <v>700</v>
      </c>
      <c r="E7" s="79"/>
      <c r="G7" s="74">
        <v>10000004</v>
      </c>
      <c r="H7" s="75" t="s">
        <v>701</v>
      </c>
      <c r="I7" s="70" t="s">
        <v>702</v>
      </c>
    </row>
    <row r="8" ht="13" spans="3:9">
      <c r="C8" s="77">
        <v>10000022</v>
      </c>
      <c r="D8" s="78" t="s">
        <v>703</v>
      </c>
      <c r="E8" s="79"/>
      <c r="G8" s="74">
        <v>10000005</v>
      </c>
      <c r="H8" s="75" t="s">
        <v>704</v>
      </c>
      <c r="I8" t="s">
        <v>705</v>
      </c>
    </row>
    <row r="9" ht="13" spans="3:9">
      <c r="C9" s="71">
        <v>1000003</v>
      </c>
      <c r="D9" s="80" t="s">
        <v>706</v>
      </c>
      <c r="E9" s="73" t="s">
        <v>694</v>
      </c>
      <c r="G9" s="74">
        <v>10000006</v>
      </c>
      <c r="H9" s="75" t="s">
        <v>707</v>
      </c>
      <c r="I9" s="70" t="s">
        <v>708</v>
      </c>
    </row>
    <row r="10" ht="13" spans="3:9">
      <c r="C10" s="71">
        <v>1000004</v>
      </c>
      <c r="D10" s="1814" t="s">
        <v>709</v>
      </c>
      <c r="E10" s="73" t="s">
        <v>694</v>
      </c>
      <c r="G10" s="74">
        <v>10000007</v>
      </c>
      <c r="H10" s="75" t="s">
        <v>710</v>
      </c>
      <c r="I10" s="70" t="s">
        <v>711</v>
      </c>
    </row>
    <row r="11" spans="3:9">
      <c r="C11" s="71">
        <v>1000005</v>
      </c>
      <c r="D11" s="1814" t="s">
        <v>712</v>
      </c>
      <c r="E11" s="73" t="s">
        <v>694</v>
      </c>
      <c r="G11" s="74">
        <v>10000008</v>
      </c>
      <c r="H11" s="75" t="s">
        <v>713</v>
      </c>
      <c r="I11" t="s">
        <v>714</v>
      </c>
    </row>
    <row r="12" ht="13.25" customHeight="1" spans="3:9">
      <c r="C12" s="71">
        <v>1000006</v>
      </c>
      <c r="D12" s="1814" t="s">
        <v>715</v>
      </c>
      <c r="E12" s="73" t="s">
        <v>694</v>
      </c>
      <c r="G12" s="81">
        <v>10000009</v>
      </c>
      <c r="H12" s="82" t="s">
        <v>185</v>
      </c>
      <c r="I12" s="70" t="s">
        <v>716</v>
      </c>
    </row>
    <row r="13" ht="13" spans="3:9">
      <c r="C13" s="71">
        <v>1000007</v>
      </c>
      <c r="D13" s="80" t="s">
        <v>717</v>
      </c>
      <c r="E13" s="73" t="s">
        <v>694</v>
      </c>
      <c r="G13" s="68">
        <v>10000010</v>
      </c>
      <c r="H13" s="83" t="s">
        <v>718</v>
      </c>
      <c r="I13" s="70" t="s">
        <v>719</v>
      </c>
    </row>
    <row r="14" ht="13" spans="3:9">
      <c r="C14" s="71">
        <v>1000090</v>
      </c>
      <c r="D14" s="84" t="s">
        <v>720</v>
      </c>
      <c r="E14" s="73" t="s">
        <v>694</v>
      </c>
      <c r="G14" s="74">
        <v>10000011</v>
      </c>
      <c r="H14" s="85" t="s">
        <v>721</v>
      </c>
      <c r="I14" s="70" t="s">
        <v>722</v>
      </c>
    </row>
    <row r="15" ht="13.25" customHeight="1" spans="3:9">
      <c r="C15" s="71">
        <v>1000091</v>
      </c>
      <c r="D15" s="84" t="s">
        <v>723</v>
      </c>
      <c r="E15" s="73" t="s">
        <v>694</v>
      </c>
      <c r="G15" s="81">
        <v>10000012</v>
      </c>
      <c r="H15" s="86" t="s">
        <v>724</v>
      </c>
      <c r="I15" t="s">
        <v>725</v>
      </c>
    </row>
    <row r="16" ht="13" spans="3:9">
      <c r="C16" s="71">
        <v>1000092</v>
      </c>
      <c r="D16" s="84" t="s">
        <v>726</v>
      </c>
      <c r="E16" s="73" t="s">
        <v>694</v>
      </c>
      <c r="G16" s="68">
        <v>10000013</v>
      </c>
      <c r="H16" s="83" t="s">
        <v>727</v>
      </c>
      <c r="I16" s="70" t="s">
        <v>728</v>
      </c>
    </row>
    <row r="17" ht="13" customHeight="1" spans="3:9">
      <c r="C17" s="65">
        <v>2000000</v>
      </c>
      <c r="D17" s="1813" t="s">
        <v>729</v>
      </c>
      <c r="E17" s="87" t="s">
        <v>689</v>
      </c>
      <c r="G17" s="74">
        <v>10000014</v>
      </c>
      <c r="H17" s="85" t="s">
        <v>730</v>
      </c>
      <c r="I17" t="s">
        <v>731</v>
      </c>
    </row>
    <row r="18" ht="13.25" customHeight="1" spans="3:9">
      <c r="C18" s="71">
        <v>2000001</v>
      </c>
      <c r="D18" s="1815" t="s">
        <v>732</v>
      </c>
      <c r="E18" s="89" t="s">
        <v>733</v>
      </c>
      <c r="G18" s="81">
        <v>10000015</v>
      </c>
      <c r="H18" s="90" t="s">
        <v>734</v>
      </c>
      <c r="I18" t="s">
        <v>735</v>
      </c>
    </row>
    <row r="19" ht="13" spans="3:9">
      <c r="C19" s="71">
        <v>2000002</v>
      </c>
      <c r="D19" s="1815" t="s">
        <v>736</v>
      </c>
      <c r="E19" s="89" t="s">
        <v>733</v>
      </c>
      <c r="G19" s="68">
        <v>10000016</v>
      </c>
      <c r="H19" s="83" t="s">
        <v>737</v>
      </c>
      <c r="I19" s="70" t="s">
        <v>738</v>
      </c>
    </row>
    <row r="20" spans="3:9">
      <c r="C20" s="71">
        <v>2000003</v>
      </c>
      <c r="D20" s="1815" t="s">
        <v>739</v>
      </c>
      <c r="E20" s="89" t="s">
        <v>733</v>
      </c>
      <c r="G20" s="74">
        <v>10000017</v>
      </c>
      <c r="H20" s="85" t="s">
        <v>740</v>
      </c>
      <c r="I20" t="s">
        <v>741</v>
      </c>
    </row>
    <row r="21" ht="13.25" customHeight="1" spans="3:9">
      <c r="C21" s="71">
        <v>2000004</v>
      </c>
      <c r="D21" s="1815" t="s">
        <v>742</v>
      </c>
      <c r="E21" s="89" t="s">
        <v>733</v>
      </c>
      <c r="G21" s="81">
        <v>10000018</v>
      </c>
      <c r="H21" s="86" t="s">
        <v>743</v>
      </c>
      <c r="I21" s="70" t="s">
        <v>744</v>
      </c>
    </row>
    <row r="22" ht="13" spans="3:9">
      <c r="C22" s="71">
        <v>2000005</v>
      </c>
      <c r="D22" s="1815" t="s">
        <v>745</v>
      </c>
      <c r="E22" s="89" t="s">
        <v>733</v>
      </c>
      <c r="G22" s="68">
        <v>10000019</v>
      </c>
      <c r="H22" s="83" t="s">
        <v>746</v>
      </c>
      <c r="I22" s="70" t="s">
        <v>747</v>
      </c>
    </row>
    <row r="23" ht="13" spans="3:9">
      <c r="C23" s="71">
        <v>2000006</v>
      </c>
      <c r="D23" s="88" t="s">
        <v>748</v>
      </c>
      <c r="E23" s="89" t="s">
        <v>733</v>
      </c>
      <c r="G23" s="74">
        <v>10000020</v>
      </c>
      <c r="H23" s="85" t="s">
        <v>749</v>
      </c>
      <c r="I23" s="70" t="s">
        <v>750</v>
      </c>
    </row>
    <row r="24" ht="13.25" customHeight="1" spans="3:9">
      <c r="C24" s="71">
        <v>2000007</v>
      </c>
      <c r="D24" s="88" t="s">
        <v>751</v>
      </c>
      <c r="E24" s="89" t="s">
        <v>733</v>
      </c>
      <c r="G24" s="81">
        <v>10000021</v>
      </c>
      <c r="H24" s="86" t="s">
        <v>752</v>
      </c>
      <c r="I24" s="70" t="s">
        <v>753</v>
      </c>
    </row>
    <row r="25" ht="13" spans="3:9">
      <c r="C25" s="71">
        <v>2000008</v>
      </c>
      <c r="D25" s="1815" t="s">
        <v>754</v>
      </c>
      <c r="E25" s="89" t="s">
        <v>733</v>
      </c>
      <c r="G25" s="68">
        <v>10000090</v>
      </c>
      <c r="H25" s="91" t="s">
        <v>755</v>
      </c>
      <c r="I25" s="70" t="s">
        <v>756</v>
      </c>
    </row>
    <row r="26" ht="13" spans="3:9">
      <c r="C26" s="71">
        <v>2000009</v>
      </c>
      <c r="D26" s="1815" t="s">
        <v>757</v>
      </c>
      <c r="E26" s="89" t="s">
        <v>733</v>
      </c>
      <c r="G26" s="74">
        <v>10000091</v>
      </c>
      <c r="H26" s="92" t="s">
        <v>758</v>
      </c>
      <c r="I26" s="70" t="s">
        <v>759</v>
      </c>
    </row>
    <row r="27" ht="13.25" customHeight="1" spans="3:9">
      <c r="C27" s="71">
        <v>2000010</v>
      </c>
      <c r="D27" s="1815" t="s">
        <v>760</v>
      </c>
      <c r="E27" s="89" t="s">
        <v>733</v>
      </c>
      <c r="G27" s="93">
        <v>10000092</v>
      </c>
      <c r="H27" s="94" t="s">
        <v>761</v>
      </c>
      <c r="I27" s="70" t="s">
        <v>762</v>
      </c>
    </row>
    <row r="28" ht="13.25" customHeight="1" spans="3:9">
      <c r="C28" s="71">
        <v>2000011</v>
      </c>
      <c r="D28" s="88" t="s">
        <v>763</v>
      </c>
      <c r="E28" s="89" t="s">
        <v>733</v>
      </c>
    </row>
    <row r="29" spans="3:9">
      <c r="C29" s="71">
        <v>2000012</v>
      </c>
      <c r="D29" s="1815" t="s">
        <v>764</v>
      </c>
      <c r="E29" s="89" t="s">
        <v>733</v>
      </c>
      <c r="G29" s="95" t="s">
        <v>765</v>
      </c>
      <c r="H29" s="96"/>
    </row>
    <row r="30" spans="3:9">
      <c r="C30" s="71">
        <v>2000013</v>
      </c>
      <c r="D30" s="1815" t="s">
        <v>766</v>
      </c>
      <c r="E30" s="89" t="s">
        <v>733</v>
      </c>
      <c r="G30" s="97" t="s">
        <v>767</v>
      </c>
      <c r="H30" s="98" t="s">
        <v>768</v>
      </c>
    </row>
    <row r="31" spans="3:9">
      <c r="C31" s="71">
        <v>2000014</v>
      </c>
      <c r="D31" s="76" t="s">
        <v>769</v>
      </c>
      <c r="E31" s="89" t="s">
        <v>770</v>
      </c>
      <c r="G31" s="97" t="s">
        <v>771</v>
      </c>
      <c r="H31" s="98" t="s">
        <v>772</v>
      </c>
    </row>
    <row r="32" ht="13.25" customHeight="1" spans="3:9">
      <c r="C32" s="71">
        <v>2000090</v>
      </c>
      <c r="D32" s="99" t="s">
        <v>773</v>
      </c>
      <c r="E32" s="89" t="s">
        <v>774</v>
      </c>
      <c r="G32" s="100" t="s">
        <v>775</v>
      </c>
      <c r="H32" s="101" t="s">
        <v>776</v>
      </c>
    </row>
    <row r="33" spans="3:8">
      <c r="C33" s="71">
        <v>2000091</v>
      </c>
      <c r="D33" s="99" t="s">
        <v>777</v>
      </c>
      <c r="E33" s="89" t="s">
        <v>778</v>
      </c>
      <c r="G33" s="97" t="s">
        <v>779</v>
      </c>
      <c r="H33" s="102"/>
    </row>
    <row r="34" spans="3:8">
      <c r="C34" s="71">
        <v>2000092</v>
      </c>
      <c r="D34" s="99" t="s">
        <v>780</v>
      </c>
      <c r="E34" s="89" t="s">
        <v>781</v>
      </c>
      <c r="G34" s="97" t="s">
        <v>767</v>
      </c>
      <c r="H34" s="98" t="s">
        <v>782</v>
      </c>
    </row>
    <row r="35" ht="13.75" customHeight="1" spans="3:8">
      <c r="C35" s="65">
        <v>3000000</v>
      </c>
      <c r="D35" s="1813" t="s">
        <v>783</v>
      </c>
      <c r="E35" s="87" t="s">
        <v>689</v>
      </c>
      <c r="G35" s="103" t="s">
        <v>771</v>
      </c>
      <c r="H35" s="104" t="s">
        <v>784</v>
      </c>
    </row>
    <row r="36" spans="3:8">
      <c r="C36" s="71">
        <v>3000001</v>
      </c>
      <c r="D36" s="76" t="s">
        <v>785</v>
      </c>
      <c r="E36" s="89" t="s">
        <v>733</v>
      </c>
    </row>
    <row r="37" spans="3:8">
      <c r="C37" s="71">
        <v>3000002</v>
      </c>
      <c r="D37" s="76" t="s">
        <v>786</v>
      </c>
      <c r="E37" s="89" t="s">
        <v>733</v>
      </c>
    </row>
    <row r="38" spans="3:8">
      <c r="C38" s="71">
        <v>3000003</v>
      </c>
      <c r="D38" s="76" t="s">
        <v>787</v>
      </c>
      <c r="E38" s="89" t="s">
        <v>733</v>
      </c>
    </row>
    <row r="39" spans="3:8">
      <c r="C39" s="71">
        <v>3000004</v>
      </c>
      <c r="D39" s="76" t="s">
        <v>788</v>
      </c>
      <c r="E39" s="89" t="s">
        <v>733</v>
      </c>
    </row>
    <row r="40" spans="3:8">
      <c r="C40" s="71">
        <v>3000005</v>
      </c>
      <c r="D40" s="76" t="s">
        <v>789</v>
      </c>
      <c r="E40" s="89" t="s">
        <v>733</v>
      </c>
    </row>
    <row r="41" spans="3:8">
      <c r="C41" s="71">
        <v>3000006</v>
      </c>
      <c r="D41" s="76" t="s">
        <v>790</v>
      </c>
      <c r="E41" s="89" t="s">
        <v>733</v>
      </c>
    </row>
    <row r="42" spans="3:8">
      <c r="C42" s="71">
        <v>3000007</v>
      </c>
      <c r="D42" s="76" t="s">
        <v>791</v>
      </c>
      <c r="E42" s="89" t="s">
        <v>733</v>
      </c>
    </row>
    <row r="43" spans="3:8">
      <c r="C43" s="71">
        <v>3000008</v>
      </c>
      <c r="D43" s="76" t="s">
        <v>792</v>
      </c>
      <c r="E43" s="89" t="s">
        <v>733</v>
      </c>
    </row>
    <row r="44" spans="3:8">
      <c r="C44" s="71">
        <v>3000009</v>
      </c>
      <c r="D44" s="99" t="s">
        <v>793</v>
      </c>
      <c r="E44" s="89" t="s">
        <v>733</v>
      </c>
    </row>
    <row r="45" spans="3:8">
      <c r="C45" s="71">
        <v>3000010</v>
      </c>
      <c r="D45" s="99" t="s">
        <v>794</v>
      </c>
      <c r="E45" s="89" t="s">
        <v>733</v>
      </c>
    </row>
    <row r="46" spans="3:8">
      <c r="C46" s="71">
        <v>3000011</v>
      </c>
      <c r="D46" s="99" t="s">
        <v>795</v>
      </c>
      <c r="E46" s="89" t="s">
        <v>733</v>
      </c>
    </row>
    <row r="47" spans="3:8">
      <c r="C47" s="71">
        <v>3000012</v>
      </c>
      <c r="D47" s="76" t="s">
        <v>796</v>
      </c>
      <c r="E47" s="89" t="s">
        <v>733</v>
      </c>
    </row>
    <row r="48" spans="3:8">
      <c r="C48" s="71">
        <v>3000013</v>
      </c>
      <c r="D48" s="99" t="s">
        <v>797</v>
      </c>
      <c r="E48" s="89" t="s">
        <v>733</v>
      </c>
    </row>
    <row r="49" spans="3:5">
      <c r="C49" s="71">
        <v>3000014</v>
      </c>
      <c r="D49" s="76" t="s">
        <v>798</v>
      </c>
      <c r="E49" s="89" t="s">
        <v>770</v>
      </c>
    </row>
    <row r="50" spans="3:5">
      <c r="C50" s="71">
        <v>3000090</v>
      </c>
      <c r="D50" s="99" t="s">
        <v>799</v>
      </c>
      <c r="E50" s="89" t="s">
        <v>774</v>
      </c>
    </row>
    <row r="51" spans="3:5">
      <c r="C51" s="71">
        <v>3000091</v>
      </c>
      <c r="D51" s="99" t="s">
        <v>800</v>
      </c>
      <c r="E51" s="89" t="s">
        <v>778</v>
      </c>
    </row>
    <row r="52" spans="3:5">
      <c r="C52" s="71">
        <v>3000092</v>
      </c>
      <c r="D52" s="99" t="s">
        <v>801</v>
      </c>
      <c r="E52" s="89" t="s">
        <v>781</v>
      </c>
    </row>
    <row r="53" ht="13" customHeight="1" spans="3:5">
      <c r="C53" s="65">
        <v>4000000</v>
      </c>
      <c r="D53" s="1813" t="s">
        <v>802</v>
      </c>
      <c r="E53" s="87" t="s">
        <v>689</v>
      </c>
    </row>
    <row r="54" spans="3:5">
      <c r="C54" s="71">
        <v>4000001</v>
      </c>
      <c r="D54" s="76" t="s">
        <v>803</v>
      </c>
      <c r="E54" s="89" t="s">
        <v>733</v>
      </c>
    </row>
    <row r="55" spans="3:5">
      <c r="C55" s="71">
        <v>4000002</v>
      </c>
      <c r="D55" s="76" t="s">
        <v>804</v>
      </c>
      <c r="E55" s="89" t="s">
        <v>733</v>
      </c>
    </row>
    <row r="56" spans="3:5">
      <c r="C56" s="71">
        <v>4000003</v>
      </c>
      <c r="D56" s="76" t="s">
        <v>805</v>
      </c>
      <c r="E56" s="89" t="s">
        <v>733</v>
      </c>
    </row>
    <row r="57" spans="3:5">
      <c r="C57" s="71">
        <v>4000004</v>
      </c>
      <c r="D57" s="76" t="s">
        <v>806</v>
      </c>
      <c r="E57" s="89" t="s">
        <v>733</v>
      </c>
    </row>
    <row r="58" spans="3:5">
      <c r="C58" s="71">
        <v>4000005</v>
      </c>
      <c r="D58" s="76" t="s">
        <v>807</v>
      </c>
      <c r="E58" s="89" t="s">
        <v>733</v>
      </c>
    </row>
    <row r="59" spans="3:5">
      <c r="C59" s="71">
        <v>4000006</v>
      </c>
      <c r="D59" s="76" t="s">
        <v>808</v>
      </c>
      <c r="E59" s="89" t="s">
        <v>733</v>
      </c>
    </row>
    <row r="60" spans="3:5">
      <c r="C60" s="71">
        <v>4000007</v>
      </c>
      <c r="D60" s="99" t="s">
        <v>809</v>
      </c>
      <c r="E60" s="89" t="s">
        <v>733</v>
      </c>
    </row>
    <row r="61" spans="3:5">
      <c r="C61" s="71">
        <v>4000008</v>
      </c>
      <c r="D61" s="99" t="s">
        <v>810</v>
      </c>
      <c r="E61" s="89" t="s">
        <v>733</v>
      </c>
    </row>
    <row r="62" spans="3:5">
      <c r="C62" s="71">
        <v>4000009</v>
      </c>
      <c r="D62" s="76" t="s">
        <v>811</v>
      </c>
      <c r="E62" s="89" t="s">
        <v>733</v>
      </c>
    </row>
    <row r="63" spans="3:5">
      <c r="C63" s="71">
        <v>4000010</v>
      </c>
      <c r="D63" s="76" t="s">
        <v>812</v>
      </c>
      <c r="E63" s="89" t="s">
        <v>733</v>
      </c>
    </row>
    <row r="64" spans="3:5">
      <c r="C64" s="71">
        <v>4000011</v>
      </c>
      <c r="D64" s="76" t="s">
        <v>813</v>
      </c>
      <c r="E64" s="89" t="s">
        <v>733</v>
      </c>
    </row>
    <row r="65" spans="3:5">
      <c r="C65" s="71">
        <v>4000012</v>
      </c>
      <c r="D65" s="76" t="s">
        <v>814</v>
      </c>
      <c r="E65" s="89" t="s">
        <v>815</v>
      </c>
    </row>
    <row r="66" spans="3:5">
      <c r="C66" s="71">
        <v>4000013</v>
      </c>
      <c r="D66" s="76" t="s">
        <v>816</v>
      </c>
      <c r="E66" s="89" t="s">
        <v>733</v>
      </c>
    </row>
    <row r="67" spans="3:5">
      <c r="C67" s="71">
        <v>4000014</v>
      </c>
      <c r="D67" s="76" t="s">
        <v>817</v>
      </c>
      <c r="E67" s="89" t="s">
        <v>733</v>
      </c>
    </row>
    <row r="68" spans="3:5">
      <c r="C68" s="71">
        <v>4000015</v>
      </c>
      <c r="D68" s="76" t="s">
        <v>818</v>
      </c>
      <c r="E68" s="89" t="s">
        <v>733</v>
      </c>
    </row>
    <row r="69" spans="3:5">
      <c r="C69" s="71">
        <v>4000016</v>
      </c>
      <c r="D69" s="76" t="s">
        <v>819</v>
      </c>
      <c r="E69" s="89" t="s">
        <v>770</v>
      </c>
    </row>
    <row r="70" spans="3:5">
      <c r="C70" s="71">
        <v>4000090</v>
      </c>
      <c r="D70" s="99" t="s">
        <v>820</v>
      </c>
      <c r="E70" s="89" t="s">
        <v>774</v>
      </c>
    </row>
    <row r="71" spans="3:5">
      <c r="C71" s="71">
        <v>4000091</v>
      </c>
      <c r="D71" s="99" t="s">
        <v>821</v>
      </c>
      <c r="E71" s="89" t="s">
        <v>778</v>
      </c>
    </row>
    <row r="72" spans="3:5">
      <c r="C72" s="71">
        <v>4000092</v>
      </c>
      <c r="D72" s="99" t="s">
        <v>822</v>
      </c>
      <c r="E72" s="89" t="s">
        <v>781</v>
      </c>
    </row>
    <row r="73" ht="13" customHeight="1" spans="3:5">
      <c r="C73" s="65">
        <v>5000000</v>
      </c>
      <c r="D73" s="1813" t="s">
        <v>823</v>
      </c>
      <c r="E73" s="87" t="s">
        <v>689</v>
      </c>
    </row>
    <row r="74" spans="3:5">
      <c r="C74" s="71">
        <v>5000001</v>
      </c>
      <c r="D74" s="88" t="s">
        <v>824</v>
      </c>
      <c r="E74" s="89" t="s">
        <v>733</v>
      </c>
    </row>
    <row r="75" spans="3:5">
      <c r="C75" s="71">
        <v>5000002</v>
      </c>
      <c r="D75" s="88" t="s">
        <v>825</v>
      </c>
      <c r="E75" s="89" t="s">
        <v>733</v>
      </c>
    </row>
    <row r="76" spans="3:5">
      <c r="C76" s="71">
        <v>5000003</v>
      </c>
      <c r="D76" s="88" t="s">
        <v>826</v>
      </c>
      <c r="E76" s="89" t="s">
        <v>733</v>
      </c>
    </row>
    <row r="77" spans="3:5">
      <c r="C77" s="71">
        <v>5000004</v>
      </c>
      <c r="D77" s="88" t="s">
        <v>827</v>
      </c>
      <c r="E77" s="89" t="s">
        <v>733</v>
      </c>
    </row>
    <row r="78" spans="3:5">
      <c r="C78" s="71">
        <v>5000005</v>
      </c>
      <c r="D78" s="88" t="s">
        <v>828</v>
      </c>
      <c r="E78" s="89" t="s">
        <v>733</v>
      </c>
    </row>
    <row r="79" spans="3:5">
      <c r="C79" s="71">
        <v>5000006</v>
      </c>
      <c r="D79" s="88" t="s">
        <v>829</v>
      </c>
      <c r="E79" s="89" t="s">
        <v>733</v>
      </c>
    </row>
    <row r="80" spans="3:5">
      <c r="C80" s="71">
        <v>5000007</v>
      </c>
      <c r="D80" s="88" t="s">
        <v>830</v>
      </c>
      <c r="E80" s="89" t="s">
        <v>733</v>
      </c>
    </row>
    <row r="81" spans="3:5">
      <c r="C81" s="71">
        <v>5000008</v>
      </c>
      <c r="D81" s="88" t="s">
        <v>831</v>
      </c>
      <c r="E81" s="89" t="s">
        <v>733</v>
      </c>
    </row>
    <row r="82" spans="3:5">
      <c r="C82" s="71">
        <v>5000009</v>
      </c>
      <c r="D82" s="80" t="s">
        <v>832</v>
      </c>
      <c r="E82" s="89" t="s">
        <v>733</v>
      </c>
    </row>
    <row r="83" spans="3:5">
      <c r="C83" s="71">
        <v>5000010</v>
      </c>
      <c r="D83" s="76" t="s">
        <v>833</v>
      </c>
      <c r="E83" s="89" t="s">
        <v>770</v>
      </c>
    </row>
    <row r="84" spans="3:5">
      <c r="C84" s="71">
        <v>5000090</v>
      </c>
      <c r="D84" s="99" t="s">
        <v>820</v>
      </c>
      <c r="E84" s="89" t="s">
        <v>774</v>
      </c>
    </row>
    <row r="85" spans="3:5">
      <c r="C85" s="71">
        <v>5000091</v>
      </c>
      <c r="D85" s="99" t="s">
        <v>821</v>
      </c>
      <c r="E85" s="89" t="s">
        <v>778</v>
      </c>
    </row>
    <row r="86" spans="3:5">
      <c r="C86" s="71">
        <v>5000092</v>
      </c>
      <c r="D86" s="99" t="s">
        <v>822</v>
      </c>
      <c r="E86" s="89" t="s">
        <v>781</v>
      </c>
    </row>
    <row r="87" ht="13" customHeight="1" spans="3:5">
      <c r="C87" s="65">
        <v>6000000</v>
      </c>
      <c r="D87" s="1813" t="s">
        <v>834</v>
      </c>
      <c r="E87" s="87" t="s">
        <v>689</v>
      </c>
    </row>
    <row r="88" spans="3:5">
      <c r="C88" s="71">
        <v>6000001</v>
      </c>
      <c r="D88" s="1814" t="s">
        <v>835</v>
      </c>
      <c r="E88" s="89" t="s">
        <v>733</v>
      </c>
    </row>
    <row r="89" ht="13" customHeight="1" spans="3:5">
      <c r="C89" s="71">
        <v>6000002</v>
      </c>
      <c r="D89" s="76" t="s">
        <v>836</v>
      </c>
      <c r="E89" s="89" t="s">
        <v>733</v>
      </c>
    </row>
    <row r="90" spans="3:5">
      <c r="C90" s="71">
        <v>6000003</v>
      </c>
      <c r="D90" s="1814" t="s">
        <v>837</v>
      </c>
      <c r="E90" s="89" t="s">
        <v>733</v>
      </c>
    </row>
    <row r="91" spans="3:5">
      <c r="C91" s="71">
        <v>6000004</v>
      </c>
      <c r="D91" s="72" t="s">
        <v>838</v>
      </c>
      <c r="E91" s="89" t="s">
        <v>733</v>
      </c>
    </row>
    <row r="92" spans="3:5">
      <c r="C92" s="71">
        <v>6000005</v>
      </c>
      <c r="D92" s="1814" t="s">
        <v>839</v>
      </c>
      <c r="E92" s="89" t="s">
        <v>840</v>
      </c>
    </row>
    <row r="93" spans="3:5">
      <c r="C93" s="71">
        <v>6000006</v>
      </c>
      <c r="D93" s="72" t="s">
        <v>841</v>
      </c>
      <c r="E93" s="89" t="s">
        <v>733</v>
      </c>
    </row>
    <row r="94" spans="3:5">
      <c r="C94" s="71">
        <v>6000007</v>
      </c>
      <c r="D94" s="72" t="s">
        <v>79</v>
      </c>
      <c r="E94" s="89" t="s">
        <v>842</v>
      </c>
    </row>
    <row r="95" spans="3:5">
      <c r="C95" s="77">
        <v>60000071</v>
      </c>
      <c r="D95" s="105" t="s">
        <v>843</v>
      </c>
      <c r="E95" s="106" t="s">
        <v>844</v>
      </c>
    </row>
    <row r="96" spans="3:5">
      <c r="C96" s="77">
        <v>60000072</v>
      </c>
      <c r="D96" s="105" t="s">
        <v>845</v>
      </c>
      <c r="E96" s="106" t="s">
        <v>844</v>
      </c>
    </row>
    <row r="97" spans="3:7">
      <c r="C97" s="71">
        <v>6000008</v>
      </c>
      <c r="D97" s="1814" t="s">
        <v>846</v>
      </c>
      <c r="E97" s="89" t="s">
        <v>842</v>
      </c>
    </row>
    <row r="98" spans="3:7">
      <c r="C98" s="71">
        <v>6000009</v>
      </c>
      <c r="D98" s="72" t="s">
        <v>847</v>
      </c>
      <c r="E98" s="89" t="s">
        <v>842</v>
      </c>
    </row>
    <row r="99" spans="3:7">
      <c r="C99" s="71">
        <v>6000010</v>
      </c>
      <c r="D99" s="72" t="s">
        <v>848</v>
      </c>
      <c r="E99" s="89" t="s">
        <v>849</v>
      </c>
    </row>
    <row r="100" spans="3:7">
      <c r="C100" s="71">
        <v>6000011</v>
      </c>
      <c r="D100" s="1814" t="s">
        <v>850</v>
      </c>
      <c r="E100" s="89" t="s">
        <v>849</v>
      </c>
    </row>
    <row r="101" spans="3:7">
      <c r="C101" s="71">
        <v>6000012</v>
      </c>
      <c r="D101" s="72" t="s">
        <v>851</v>
      </c>
      <c r="E101" s="89" t="s">
        <v>849</v>
      </c>
    </row>
    <row r="102" spans="3:7">
      <c r="C102" s="71">
        <v>6000013</v>
      </c>
      <c r="D102" s="76" t="s">
        <v>852</v>
      </c>
      <c r="E102" s="89" t="s">
        <v>842</v>
      </c>
    </row>
    <row r="103" spans="3:7">
      <c r="C103" s="71">
        <v>6000014</v>
      </c>
      <c r="D103" s="76" t="s">
        <v>853</v>
      </c>
      <c r="E103" s="89" t="s">
        <v>842</v>
      </c>
    </row>
    <row r="104" spans="3:7">
      <c r="C104" s="71">
        <v>6000015</v>
      </c>
      <c r="D104" s="76" t="s">
        <v>854</v>
      </c>
      <c r="E104" s="89" t="s">
        <v>842</v>
      </c>
    </row>
    <row r="105" spans="3:7">
      <c r="C105" s="71">
        <v>6000016</v>
      </c>
      <c r="D105" s="1814" t="s">
        <v>855</v>
      </c>
      <c r="E105" s="89" t="s">
        <v>733</v>
      </c>
    </row>
    <row r="106" spans="3:7">
      <c r="C106" s="71">
        <v>6000017</v>
      </c>
      <c r="D106" s="1814" t="s">
        <v>856</v>
      </c>
      <c r="E106" s="89" t="s">
        <v>733</v>
      </c>
    </row>
    <row r="107" spans="3:7">
      <c r="C107" s="71">
        <v>6000018</v>
      </c>
      <c r="D107" s="76" t="s">
        <v>857</v>
      </c>
      <c r="E107" s="89" t="s">
        <v>858</v>
      </c>
    </row>
    <row r="108" spans="3:7">
      <c r="C108" s="71">
        <v>6000019</v>
      </c>
      <c r="D108" s="76" t="s">
        <v>859</v>
      </c>
      <c r="E108" s="107" t="s">
        <v>860</v>
      </c>
    </row>
    <row r="109" spans="3:7">
      <c r="C109" s="77">
        <v>6000020</v>
      </c>
      <c r="D109" s="78" t="s">
        <v>861</v>
      </c>
      <c r="E109" s="108" t="s">
        <v>844</v>
      </c>
      <c r="G109" t="s">
        <v>862</v>
      </c>
    </row>
    <row r="110" spans="3:7">
      <c r="C110" s="77">
        <v>60000201</v>
      </c>
      <c r="D110" s="78" t="s">
        <v>863</v>
      </c>
      <c r="E110" s="108" t="s">
        <v>844</v>
      </c>
    </row>
    <row r="111" spans="3:7">
      <c r="C111" s="77">
        <v>60000202</v>
      </c>
      <c r="D111" s="78" t="s">
        <v>864</v>
      </c>
      <c r="E111" s="108" t="s">
        <v>844</v>
      </c>
    </row>
    <row r="112" ht="13" customHeight="1" spans="3:7">
      <c r="C112" s="65">
        <v>7000000</v>
      </c>
      <c r="D112" s="1813" t="s">
        <v>865</v>
      </c>
      <c r="E112" s="87" t="s">
        <v>689</v>
      </c>
    </row>
    <row r="113" spans="3:5">
      <c r="C113" s="71">
        <v>7000001</v>
      </c>
      <c r="D113" s="88" t="s">
        <v>866</v>
      </c>
      <c r="E113" s="89" t="s">
        <v>867</v>
      </c>
    </row>
    <row r="114" spans="3:5">
      <c r="C114" s="71">
        <v>7000002</v>
      </c>
      <c r="D114" s="88" t="s">
        <v>868</v>
      </c>
      <c r="E114" s="89" t="s">
        <v>867</v>
      </c>
    </row>
    <row r="115" spans="3:5">
      <c r="C115" s="71">
        <v>7000003</v>
      </c>
      <c r="D115" s="88" t="s">
        <v>869</v>
      </c>
      <c r="E115" s="89" t="s">
        <v>867</v>
      </c>
    </row>
    <row r="116" spans="3:5">
      <c r="C116" s="71">
        <v>7000004</v>
      </c>
      <c r="D116" s="88" t="s">
        <v>870</v>
      </c>
      <c r="E116" s="89" t="s">
        <v>867</v>
      </c>
    </row>
    <row r="117" spans="3:5">
      <c r="C117" s="71">
        <v>7000005</v>
      </c>
      <c r="D117" s="88" t="s">
        <v>871</v>
      </c>
      <c r="E117" s="89" t="s">
        <v>867</v>
      </c>
    </row>
    <row r="118" spans="3:5">
      <c r="C118" s="71">
        <v>7000006</v>
      </c>
      <c r="D118" s="76" t="s">
        <v>872</v>
      </c>
      <c r="E118" s="89" t="s">
        <v>867</v>
      </c>
    </row>
    <row r="119" spans="3:5">
      <c r="C119" s="71">
        <v>7000007</v>
      </c>
      <c r="D119" s="76" t="s">
        <v>873</v>
      </c>
      <c r="E119" s="89" t="s">
        <v>867</v>
      </c>
    </row>
    <row r="120" spans="3:5">
      <c r="C120" s="71">
        <v>7000008</v>
      </c>
      <c r="D120" s="88" t="s">
        <v>874</v>
      </c>
      <c r="E120" s="89" t="s">
        <v>867</v>
      </c>
    </row>
    <row r="121" spans="3:5">
      <c r="C121" s="71">
        <v>7000009</v>
      </c>
      <c r="D121" s="88" t="s">
        <v>875</v>
      </c>
      <c r="E121" s="89" t="s">
        <v>867</v>
      </c>
    </row>
    <row r="122" spans="3:5">
      <c r="C122" s="71">
        <v>7000010</v>
      </c>
      <c r="D122" s="76" t="s">
        <v>876</v>
      </c>
      <c r="E122" s="89" t="s">
        <v>867</v>
      </c>
    </row>
    <row r="123" spans="3:5">
      <c r="C123" s="71">
        <v>7000011</v>
      </c>
      <c r="D123" s="76" t="s">
        <v>877</v>
      </c>
      <c r="E123" s="89" t="s">
        <v>867</v>
      </c>
    </row>
    <row r="124" spans="3:5">
      <c r="C124" s="71">
        <v>7000012</v>
      </c>
      <c r="D124" s="76" t="s">
        <v>878</v>
      </c>
      <c r="E124" s="89" t="s">
        <v>867</v>
      </c>
    </row>
    <row r="125" spans="3:5">
      <c r="C125" s="71">
        <v>7000013</v>
      </c>
      <c r="D125" s="76" t="s">
        <v>879</v>
      </c>
      <c r="E125" s="89" t="s">
        <v>867</v>
      </c>
    </row>
    <row r="126" spans="3:5">
      <c r="C126" s="71">
        <v>7000014</v>
      </c>
      <c r="D126" s="76" t="s">
        <v>880</v>
      </c>
      <c r="E126" s="89" t="s">
        <v>881</v>
      </c>
    </row>
    <row r="127" spans="3:5">
      <c r="C127" s="71">
        <v>7000090</v>
      </c>
      <c r="D127" s="99" t="s">
        <v>882</v>
      </c>
      <c r="E127" s="89" t="s">
        <v>774</v>
      </c>
    </row>
    <row r="128" spans="3:5">
      <c r="C128" s="71">
        <v>7000091</v>
      </c>
      <c r="D128" s="99" t="s">
        <v>883</v>
      </c>
      <c r="E128" s="89" t="s">
        <v>778</v>
      </c>
    </row>
    <row r="129" spans="3:5">
      <c r="C129" s="71">
        <v>7000092</v>
      </c>
      <c r="D129" s="99" t="s">
        <v>884</v>
      </c>
      <c r="E129" s="89" t="s">
        <v>781</v>
      </c>
    </row>
    <row r="130" ht="13" customHeight="1" spans="3:5">
      <c r="C130" s="65">
        <v>8000000</v>
      </c>
      <c r="D130" s="66" t="s">
        <v>885</v>
      </c>
      <c r="E130" s="87" t="s">
        <v>689</v>
      </c>
    </row>
    <row r="131" spans="3:5">
      <c r="C131" s="71">
        <v>8000001</v>
      </c>
      <c r="D131" s="109" t="s">
        <v>886</v>
      </c>
      <c r="E131" s="89" t="s">
        <v>887</v>
      </c>
    </row>
    <row r="132" spans="3:5">
      <c r="C132" s="71">
        <v>8000002</v>
      </c>
      <c r="D132" s="109" t="s">
        <v>888</v>
      </c>
      <c r="E132" s="89" t="s">
        <v>889</v>
      </c>
    </row>
    <row r="133" spans="3:5">
      <c r="C133" s="71">
        <v>8000003</v>
      </c>
      <c r="D133" s="109" t="s">
        <v>890</v>
      </c>
      <c r="E133" s="89" t="s">
        <v>891</v>
      </c>
    </row>
    <row r="134" spans="3:5">
      <c r="C134" s="71">
        <v>8000004</v>
      </c>
      <c r="D134" s="109" t="s">
        <v>892</v>
      </c>
      <c r="E134" s="89" t="s">
        <v>887</v>
      </c>
    </row>
    <row r="135" spans="3:5">
      <c r="C135" s="71">
        <v>8000005</v>
      </c>
      <c r="D135" s="109" t="s">
        <v>893</v>
      </c>
      <c r="E135" s="89" t="s">
        <v>887</v>
      </c>
    </row>
    <row r="136" ht="13" customHeight="1" spans="3:5">
      <c r="C136" s="65">
        <v>9000000</v>
      </c>
      <c r="D136" s="110" t="s">
        <v>894</v>
      </c>
      <c r="E136" s="87" t="s">
        <v>689</v>
      </c>
    </row>
    <row r="137" spans="3:5">
      <c r="C137" s="71">
        <v>9000001</v>
      </c>
      <c r="D137" s="88" t="s">
        <v>895</v>
      </c>
      <c r="E137" s="89" t="s">
        <v>896</v>
      </c>
    </row>
    <row r="138" spans="3:5">
      <c r="C138" s="71">
        <v>9000002</v>
      </c>
      <c r="D138" s="88" t="s">
        <v>897</v>
      </c>
      <c r="E138" s="89" t="s">
        <v>896</v>
      </c>
    </row>
    <row r="139" spans="3:5">
      <c r="C139" s="71">
        <v>9000003</v>
      </c>
      <c r="D139" s="88" t="s">
        <v>898</v>
      </c>
      <c r="E139" s="89" t="s">
        <v>896</v>
      </c>
    </row>
    <row r="140" spans="3:5">
      <c r="C140" s="71">
        <v>9000004</v>
      </c>
      <c r="D140" s="88" t="s">
        <v>899</v>
      </c>
      <c r="E140" s="89" t="s">
        <v>896</v>
      </c>
    </row>
    <row r="141" spans="3:5">
      <c r="C141" s="71">
        <v>9000005</v>
      </c>
      <c r="D141" s="88" t="s">
        <v>900</v>
      </c>
      <c r="E141" s="89" t="s">
        <v>896</v>
      </c>
    </row>
    <row r="142" ht="13" customHeight="1" spans="3:5">
      <c r="C142" s="111" t="s">
        <v>901</v>
      </c>
      <c r="D142" s="1813" t="s">
        <v>902</v>
      </c>
      <c r="E142" s="87" t="s">
        <v>689</v>
      </c>
    </row>
    <row r="143" spans="3:5">
      <c r="C143" s="112" t="s">
        <v>903</v>
      </c>
      <c r="D143" s="88" t="s">
        <v>904</v>
      </c>
      <c r="E143" s="89" t="s">
        <v>733</v>
      </c>
    </row>
    <row r="144" spans="3:5">
      <c r="C144" s="112" t="s">
        <v>905</v>
      </c>
      <c r="D144" s="88" t="s">
        <v>906</v>
      </c>
      <c r="E144" s="89" t="s">
        <v>733</v>
      </c>
    </row>
    <row r="145" spans="3:7">
      <c r="C145" s="112" t="s">
        <v>907</v>
      </c>
      <c r="D145" s="88" t="s">
        <v>908</v>
      </c>
      <c r="E145" s="89" t="s">
        <v>733</v>
      </c>
    </row>
    <row r="146" spans="3:7">
      <c r="C146" s="112" t="s">
        <v>909</v>
      </c>
      <c r="D146" s="88" t="s">
        <v>910</v>
      </c>
      <c r="E146" s="89" t="s">
        <v>733</v>
      </c>
    </row>
    <row r="147" spans="3:7">
      <c r="C147" s="112" t="s">
        <v>911</v>
      </c>
      <c r="D147" s="88" t="s">
        <v>912</v>
      </c>
      <c r="E147" s="89" t="s">
        <v>733</v>
      </c>
    </row>
    <row r="148" spans="3:7">
      <c r="C148" s="112" t="s">
        <v>913</v>
      </c>
      <c r="D148" s="88" t="s">
        <v>914</v>
      </c>
      <c r="E148" s="89" t="s">
        <v>733</v>
      </c>
    </row>
    <row r="149" ht="13" spans="3:7">
      <c r="C149" s="112" t="s">
        <v>915</v>
      </c>
      <c r="D149" s="88" t="s">
        <v>916</v>
      </c>
      <c r="E149" s="89" t="s">
        <v>733</v>
      </c>
      <c r="G149" s="70"/>
    </row>
    <row r="150" spans="3:7">
      <c r="C150" s="112" t="s">
        <v>917</v>
      </c>
      <c r="D150" s="88" t="s">
        <v>918</v>
      </c>
      <c r="E150" s="89" t="s">
        <v>733</v>
      </c>
    </row>
    <row r="151" spans="3:7">
      <c r="C151" s="112" t="s">
        <v>919</v>
      </c>
      <c r="D151" s="88" t="s">
        <v>920</v>
      </c>
      <c r="E151" s="89" t="s">
        <v>733</v>
      </c>
    </row>
    <row r="152" spans="3:7">
      <c r="C152" s="112" t="s">
        <v>921</v>
      </c>
      <c r="D152" s="88" t="s">
        <v>922</v>
      </c>
      <c r="E152" s="89" t="s">
        <v>733</v>
      </c>
    </row>
    <row r="153" spans="3:7">
      <c r="C153" s="112" t="s">
        <v>923</v>
      </c>
      <c r="D153" s="76" t="s">
        <v>924</v>
      </c>
      <c r="E153" s="89" t="s">
        <v>733</v>
      </c>
    </row>
    <row r="154" spans="3:7">
      <c r="C154" s="112" t="s">
        <v>925</v>
      </c>
      <c r="D154" s="76" t="s">
        <v>926</v>
      </c>
      <c r="E154" s="89" t="s">
        <v>733</v>
      </c>
    </row>
    <row r="155" spans="3:7">
      <c r="C155" s="112" t="s">
        <v>927</v>
      </c>
      <c r="D155" s="76" t="s">
        <v>928</v>
      </c>
      <c r="E155" s="89" t="s">
        <v>733</v>
      </c>
    </row>
    <row r="156" spans="3:7">
      <c r="C156" s="112" t="s">
        <v>929</v>
      </c>
      <c r="D156" s="76" t="s">
        <v>930</v>
      </c>
      <c r="E156" s="89" t="s">
        <v>733</v>
      </c>
    </row>
    <row r="157" spans="3:7">
      <c r="C157" s="112" t="s">
        <v>931</v>
      </c>
      <c r="D157" s="76" t="s">
        <v>932</v>
      </c>
      <c r="E157" s="89" t="s">
        <v>896</v>
      </c>
    </row>
    <row r="158" spans="3:7">
      <c r="C158" s="112" t="s">
        <v>933</v>
      </c>
      <c r="D158" s="99" t="s">
        <v>934</v>
      </c>
      <c r="E158" s="89" t="s">
        <v>781</v>
      </c>
    </row>
    <row r="159" spans="3:7">
      <c r="C159" s="112" t="s">
        <v>935</v>
      </c>
      <c r="D159" s="99" t="s">
        <v>936</v>
      </c>
      <c r="E159" s="89" t="s">
        <v>781</v>
      </c>
    </row>
    <row r="160" ht="13" customHeight="1" spans="3:7">
      <c r="C160" s="111" t="s">
        <v>937</v>
      </c>
      <c r="D160" s="113" t="s">
        <v>938</v>
      </c>
      <c r="E160" s="87" t="s">
        <v>689</v>
      </c>
    </row>
    <row r="161" spans="3:5">
      <c r="C161" s="112" t="s">
        <v>939</v>
      </c>
      <c r="D161" s="109" t="s">
        <v>940</v>
      </c>
      <c r="E161" s="107" t="s">
        <v>941</v>
      </c>
    </row>
    <row r="162" ht="13" customHeight="1" spans="3:5">
      <c r="C162" s="111" t="s">
        <v>942</v>
      </c>
      <c r="D162" s="113" t="s">
        <v>943</v>
      </c>
      <c r="E162" s="87" t="s">
        <v>689</v>
      </c>
    </row>
    <row r="163" ht="13.25" customHeight="1" spans="3:5">
      <c r="C163" s="114" t="s">
        <v>944</v>
      </c>
      <c r="D163" s="115" t="s">
        <v>945</v>
      </c>
      <c r="E163" s="116" t="s">
        <v>941</v>
      </c>
    </row>
    <row r="164" spans="3:5">
      <c r="E164" s="117"/>
    </row>
    <row r="165" spans="3:5">
      <c r="E165" s="117"/>
    </row>
  </sheetData>
  <mergeCells count="2">
    <mergeCell ref="C2:E2"/>
    <mergeCell ref="G2:H2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3:U41"/>
  <sheetViews>
    <sheetView zoomScale="70" zoomScaleNormal="70" topLeftCell="A16" workbookViewId="0">
      <selection activeCell="L21" sqref="L21:L27"/>
    </sheetView>
  </sheetViews>
  <sheetFormatPr defaultColWidth="8.72727272727273" defaultRowHeight="12.5"/>
  <cols>
    <col min="1" max="1" width="18.5454545454545" customWidth="1"/>
    <col min="2" max="2" width="5.09090909090909" customWidth="1"/>
    <col min="3" max="3" width="34.9090909090909" customWidth="1"/>
    <col min="4" max="5" width="13.7272727272727" customWidth="1"/>
    <col min="6" max="6" width="13.3636363636364" customWidth="1"/>
    <col min="7" max="7" width="13.7272727272727" customWidth="1"/>
    <col min="8" max="8" width="14.9090909090909" customWidth="1"/>
    <col min="9" max="9" width="11.8181818181818" customWidth="1"/>
    <col min="10" max="10" width="2.45454545454545" customWidth="1"/>
    <col min="11" max="11" width="5.27272727272727" customWidth="1"/>
    <col min="12" max="12" width="17.9090909090909" customWidth="1"/>
    <col min="13" max="13" width="11.3636363636364" customWidth="1"/>
    <col min="14" max="14" width="13.8181818181818" customWidth="1"/>
    <col min="15" max="15" width="13.0909090909091" customWidth="1"/>
    <col min="16" max="16" width="2.54545454545455" customWidth="1"/>
    <col min="17" max="17" width="5.27272727272727" customWidth="1"/>
    <col min="18" max="18" width="21.7272727272727" customWidth="1"/>
    <col min="19" max="19" width="11.3636363636364" customWidth="1"/>
    <col min="20" max="21" width="13.8181818181818" customWidth="1"/>
  </cols>
  <sheetData>
    <row r="13" ht="13.25" customHeight="1"/>
    <row r="14" ht="15.25" customHeight="1" spans="2:21">
      <c r="B14" s="1" t="s">
        <v>946</v>
      </c>
      <c r="C14" s="2"/>
      <c r="D14" s="2"/>
      <c r="E14" s="2"/>
      <c r="F14" s="2"/>
      <c r="G14" s="2"/>
      <c r="H14" s="3" t="s">
        <v>947</v>
      </c>
      <c r="I14" s="4">
        <v>46235</v>
      </c>
      <c r="K14" s="5" t="s">
        <v>948</v>
      </c>
      <c r="L14" s="6"/>
      <c r="M14" s="6"/>
      <c r="N14" s="6"/>
      <c r="O14" s="7">
        <f>I14</f>
        <v>46235</v>
      </c>
      <c r="Q14" s="5" t="s">
        <v>949</v>
      </c>
      <c r="R14" s="6"/>
      <c r="S14" s="6"/>
      <c r="T14" s="6"/>
      <c r="U14" s="7">
        <f>O14</f>
        <v>46235</v>
      </c>
    </row>
    <row r="15" ht="14.75" customHeight="1" spans="2:21">
      <c r="B15" s="8" t="s">
        <v>134</v>
      </c>
      <c r="C15" s="9" t="s">
        <v>950</v>
      </c>
      <c r="D15" s="9" t="s">
        <v>951</v>
      </c>
      <c r="E15" s="9" t="s">
        <v>952</v>
      </c>
      <c r="F15" s="9" t="s">
        <v>953</v>
      </c>
      <c r="G15" s="10" t="s">
        <v>954</v>
      </c>
      <c r="H15" s="8" t="s">
        <v>955</v>
      </c>
      <c r="I15" s="11" t="s">
        <v>140</v>
      </c>
      <c r="K15" s="12" t="s">
        <v>134</v>
      </c>
      <c r="L15" s="13" t="s">
        <v>956</v>
      </c>
      <c r="M15" s="14"/>
      <c r="N15" s="13" t="s">
        <v>957</v>
      </c>
      <c r="O15" s="15" t="s">
        <v>958</v>
      </c>
      <c r="Q15" s="12" t="s">
        <v>134</v>
      </c>
      <c r="R15" s="13" t="s">
        <v>956</v>
      </c>
      <c r="S15" s="14"/>
      <c r="T15" s="13" t="s">
        <v>957</v>
      </c>
      <c r="U15" s="15" t="s">
        <v>958</v>
      </c>
    </row>
    <row r="16" ht="14" customHeight="1" spans="2:21">
      <c r="B16" s="16">
        <v>0</v>
      </c>
      <c r="C16" s="17" t="s">
        <v>959</v>
      </c>
      <c r="D16" s="18">
        <f>D41</f>
        <v>0</v>
      </c>
      <c r="E16" s="19">
        <v>0</v>
      </c>
      <c r="F16" s="19">
        <v>0</v>
      </c>
      <c r="G16" s="20">
        <f>D16+E16+F16</f>
        <v>0</v>
      </c>
      <c r="H16" s="21"/>
      <c r="I16" s="22"/>
      <c r="K16" s="23">
        <v>1</v>
      </c>
      <c r="L16" s="24" t="s">
        <v>960</v>
      </c>
      <c r="M16" s="25" t="s">
        <v>961</v>
      </c>
      <c r="N16" s="25"/>
      <c r="O16" s="26"/>
      <c r="Q16" s="23">
        <v>1</v>
      </c>
      <c r="R16" s="24" t="s">
        <v>960</v>
      </c>
      <c r="S16" s="25" t="s">
        <v>962</v>
      </c>
      <c r="T16" s="25"/>
      <c r="U16" s="26"/>
    </row>
    <row r="17" ht="14" customHeight="1" spans="2:21">
      <c r="B17" s="27">
        <v>1</v>
      </c>
      <c r="C17" s="28"/>
      <c r="D17" s="29"/>
      <c r="E17" s="30"/>
      <c r="G17" s="20"/>
      <c r="H17" s="31"/>
      <c r="I17" s="32" t="s">
        <v>963</v>
      </c>
      <c r="K17" s="33">
        <v>2</v>
      </c>
      <c r="L17" s="34"/>
      <c r="M17" s="35" t="s">
        <v>964</v>
      </c>
      <c r="N17" s="35"/>
      <c r="O17" s="36"/>
      <c r="Q17" s="33">
        <v>2</v>
      </c>
      <c r="R17" s="34"/>
      <c r="S17" s="35" t="s">
        <v>965</v>
      </c>
      <c r="T17" s="35"/>
      <c r="U17" s="37"/>
    </row>
    <row r="18" ht="14.75" customHeight="1" spans="2:21">
      <c r="B18" s="27">
        <v>2</v>
      </c>
      <c r="C18" s="28"/>
      <c r="D18" s="29"/>
      <c r="E18" s="38"/>
      <c r="F18" s="30"/>
      <c r="G18" s="20"/>
      <c r="H18" s="31"/>
      <c r="I18" s="32" t="s">
        <v>963</v>
      </c>
      <c r="K18" s="33">
        <v>3</v>
      </c>
      <c r="L18" s="34"/>
      <c r="M18" s="35" t="s">
        <v>966</v>
      </c>
      <c r="N18" s="35"/>
      <c r="O18" s="39"/>
      <c r="Q18" s="40">
        <v>3</v>
      </c>
      <c r="R18" s="41"/>
      <c r="S18" s="42" t="s">
        <v>967</v>
      </c>
      <c r="T18" s="42"/>
      <c r="U18" s="43">
        <f>SUM(U16:U17)</f>
        <v>0</v>
      </c>
    </row>
    <row r="19" ht="14" customHeight="1" spans="2:21">
      <c r="B19" s="27">
        <v>3</v>
      </c>
      <c r="C19" s="28"/>
      <c r="D19" s="29"/>
      <c r="E19" s="30"/>
      <c r="F19" s="30"/>
      <c r="G19" s="20"/>
      <c r="H19" s="31"/>
      <c r="I19" s="32" t="s">
        <v>963</v>
      </c>
      <c r="K19" s="33">
        <v>4</v>
      </c>
      <c r="L19" s="34"/>
      <c r="M19" s="35" t="s">
        <v>968</v>
      </c>
      <c r="N19" s="35"/>
      <c r="O19" s="39"/>
      <c r="Q19" s="23">
        <v>4</v>
      </c>
      <c r="R19" s="24" t="s">
        <v>969</v>
      </c>
      <c r="S19" s="35" t="s">
        <v>970</v>
      </c>
      <c r="T19" s="35"/>
      <c r="U19" s="36">
        <v>0</v>
      </c>
    </row>
    <row r="20" ht="14.75" customHeight="1" spans="2:21">
      <c r="B20" s="27">
        <v>4</v>
      </c>
      <c r="C20" s="28"/>
      <c r="D20" s="29"/>
      <c r="E20" s="30"/>
      <c r="F20" s="30"/>
      <c r="G20" s="20"/>
      <c r="H20" s="31"/>
      <c r="I20" s="32" t="s">
        <v>963</v>
      </c>
      <c r="K20" s="40">
        <v>5</v>
      </c>
      <c r="L20" s="41"/>
      <c r="M20" s="42" t="s">
        <v>967</v>
      </c>
      <c r="N20" s="42"/>
      <c r="O20" s="43">
        <f>SUM(O16:O19)</f>
        <v>0</v>
      </c>
      <c r="Q20" s="33">
        <v>5</v>
      </c>
      <c r="R20" s="34"/>
      <c r="S20" s="35" t="s">
        <v>971</v>
      </c>
      <c r="T20" s="35"/>
      <c r="U20" s="36">
        <v>0</v>
      </c>
    </row>
    <row r="21" ht="14" customHeight="1" spans="2:21">
      <c r="B21" s="27">
        <v>5</v>
      </c>
      <c r="C21" s="28"/>
      <c r="D21" s="29"/>
      <c r="E21" s="30"/>
      <c r="F21" s="44"/>
      <c r="G21" s="20"/>
      <c r="H21" s="31"/>
      <c r="I21" s="32" t="s">
        <v>963</v>
      </c>
      <c r="K21" s="23">
        <v>6</v>
      </c>
      <c r="L21" s="24" t="s">
        <v>969</v>
      </c>
      <c r="M21" s="25" t="s">
        <v>972</v>
      </c>
      <c r="N21" s="25"/>
      <c r="O21" s="26">
        <v>0</v>
      </c>
      <c r="Q21" s="33">
        <v>6</v>
      </c>
      <c r="R21" s="34"/>
      <c r="S21" s="35" t="s">
        <v>965</v>
      </c>
      <c r="T21" s="35"/>
      <c r="U21" s="36">
        <v>0</v>
      </c>
    </row>
    <row r="22" ht="14" customHeight="1" spans="2:21">
      <c r="B22" s="27">
        <v>6</v>
      </c>
      <c r="C22" s="28"/>
      <c r="D22" s="29"/>
      <c r="E22" s="44"/>
      <c r="F22" s="30"/>
      <c r="G22" s="45"/>
      <c r="H22" s="31"/>
      <c r="I22" s="32" t="s">
        <v>973</v>
      </c>
      <c r="K22" s="33">
        <v>7</v>
      </c>
      <c r="L22" s="34"/>
      <c r="M22" s="35" t="s">
        <v>974</v>
      </c>
      <c r="N22" s="35"/>
      <c r="O22" s="36">
        <v>0</v>
      </c>
      <c r="Q22" s="33">
        <v>7</v>
      </c>
      <c r="R22" s="34"/>
      <c r="S22" s="35" t="s">
        <v>974</v>
      </c>
      <c r="T22" s="35"/>
      <c r="U22" s="36">
        <v>0</v>
      </c>
    </row>
    <row r="23" ht="14" customHeight="1" spans="2:21">
      <c r="B23" s="27">
        <v>7</v>
      </c>
      <c r="C23" s="28"/>
      <c r="D23" s="29"/>
      <c r="E23" s="44"/>
      <c r="F23" s="30"/>
      <c r="G23" s="45"/>
      <c r="H23" s="31"/>
      <c r="I23" s="32" t="s">
        <v>963</v>
      </c>
      <c r="K23" s="33">
        <v>8</v>
      </c>
      <c r="L23" s="34"/>
      <c r="M23" s="35" t="s">
        <v>975</v>
      </c>
      <c r="N23" s="35"/>
      <c r="O23" s="36">
        <v>0</v>
      </c>
      <c r="Q23" s="33">
        <v>8</v>
      </c>
      <c r="R23" s="34"/>
      <c r="S23" s="35" t="s">
        <v>975</v>
      </c>
      <c r="T23" s="35"/>
      <c r="U23" s="36">
        <v>0</v>
      </c>
    </row>
    <row r="24" ht="14" customHeight="1" spans="2:21">
      <c r="B24" s="27">
        <v>8</v>
      </c>
      <c r="C24" s="28"/>
      <c r="D24" s="29"/>
      <c r="E24" s="44"/>
      <c r="F24" s="30"/>
      <c r="G24" s="45"/>
      <c r="H24" s="31"/>
      <c r="I24" s="32"/>
      <c r="K24" s="27">
        <v>9</v>
      </c>
      <c r="L24" s="34"/>
      <c r="M24" s="46"/>
      <c r="N24" s="46"/>
      <c r="O24" s="47"/>
      <c r="Q24" s="48"/>
      <c r="R24" s="34"/>
      <c r="S24" s="46"/>
      <c r="T24" s="46"/>
      <c r="U24" s="47"/>
    </row>
    <row r="25" ht="14" customHeight="1" spans="2:21">
      <c r="B25" s="27">
        <v>9</v>
      </c>
      <c r="C25" s="28"/>
      <c r="D25" s="29"/>
      <c r="E25" s="44"/>
      <c r="F25" s="30"/>
      <c r="G25" s="45"/>
      <c r="H25" s="31"/>
      <c r="I25" s="32"/>
      <c r="K25" s="27">
        <v>10</v>
      </c>
      <c r="L25" s="34"/>
      <c r="M25" s="46"/>
      <c r="N25" s="46"/>
      <c r="O25" s="47"/>
      <c r="Q25" s="48"/>
      <c r="R25" s="34"/>
      <c r="S25" s="46"/>
      <c r="T25" s="46"/>
      <c r="U25" s="47"/>
    </row>
    <row r="26" ht="14" customHeight="1" spans="2:21">
      <c r="B26" s="27">
        <v>10</v>
      </c>
      <c r="C26" s="28"/>
      <c r="D26" s="29"/>
      <c r="E26" s="44"/>
      <c r="F26" s="30"/>
      <c r="G26" s="45"/>
      <c r="H26" s="31"/>
      <c r="I26" s="32"/>
      <c r="K26" s="27">
        <v>11</v>
      </c>
      <c r="L26" s="34"/>
      <c r="M26" s="46"/>
      <c r="N26" s="46"/>
      <c r="O26" s="47"/>
      <c r="Q26" s="48"/>
      <c r="R26" s="34"/>
      <c r="S26" s="46"/>
      <c r="T26" s="46"/>
      <c r="U26" s="47"/>
    </row>
    <row r="27" ht="14.75" customHeight="1" spans="2:21">
      <c r="B27" s="27">
        <v>11</v>
      </c>
      <c r="C27" s="28"/>
      <c r="D27" s="29"/>
      <c r="E27" s="30"/>
      <c r="F27" s="44"/>
      <c r="G27" s="45"/>
      <c r="H27" s="31"/>
      <c r="I27" s="32"/>
      <c r="K27" s="40"/>
      <c r="L27" s="41"/>
      <c r="M27" s="42" t="s">
        <v>976</v>
      </c>
      <c r="N27" s="42"/>
      <c r="O27" s="43">
        <f>O21+O22-O23</f>
        <v>0</v>
      </c>
      <c r="Q27" s="40">
        <v>9</v>
      </c>
      <c r="R27" s="41"/>
      <c r="S27" s="42" t="s">
        <v>976</v>
      </c>
      <c r="T27" s="42"/>
      <c r="U27" s="43">
        <f>SUM(U19:U23)</f>
        <v>0</v>
      </c>
    </row>
    <row r="28" ht="14.75" customHeight="1" spans="2:21">
      <c r="B28" s="8" t="s">
        <v>977</v>
      </c>
      <c r="C28" s="49" t="s">
        <v>978</v>
      </c>
      <c r="D28" s="50">
        <f>SUM(D16:D27)</f>
        <v>0</v>
      </c>
      <c r="E28" s="50">
        <f>SUM(E16:E27)</f>
        <v>0</v>
      </c>
      <c r="F28" s="50">
        <f>SUM(F16:F27)</f>
        <v>0</v>
      </c>
      <c r="G28" s="51">
        <f>SUM(G16:G27)</f>
        <v>0</v>
      </c>
      <c r="H28" s="52">
        <f>SUM(H17:H27)</f>
        <v>0</v>
      </c>
      <c r="I28" s="53"/>
      <c r="K28" s="12" t="s">
        <v>977</v>
      </c>
      <c r="L28" s="13" t="s">
        <v>979</v>
      </c>
      <c r="M28" s="54">
        <v>0</v>
      </c>
      <c r="N28" s="54">
        <v>0</v>
      </c>
      <c r="O28" s="55">
        <f>O20-O27</f>
        <v>0</v>
      </c>
      <c r="Q28" s="12" t="s">
        <v>977</v>
      </c>
      <c r="R28" s="13" t="s">
        <v>980</v>
      </c>
      <c r="S28" s="54">
        <v>0</v>
      </c>
      <c r="T28" s="54">
        <v>0</v>
      </c>
      <c r="U28" s="55">
        <f>U18-U27</f>
        <v>0</v>
      </c>
    </row>
    <row r="29" ht="13.25" customHeight="1"/>
    <row r="30" ht="15.25" customHeight="1" spans="2:21">
      <c r="B30" s="1" t="s">
        <v>946</v>
      </c>
      <c r="C30" s="2"/>
      <c r="D30" s="2"/>
      <c r="E30" s="2"/>
      <c r="F30" s="2"/>
      <c r="G30" s="2"/>
      <c r="H30" s="3" t="s">
        <v>947</v>
      </c>
      <c r="I30" s="4">
        <v>46204</v>
      </c>
      <c r="K30" s="5" t="s">
        <v>948</v>
      </c>
      <c r="L30" s="6"/>
      <c r="M30" s="6"/>
      <c r="N30" s="6"/>
      <c r="O30" s="7">
        <f>I30</f>
        <v>46204</v>
      </c>
      <c r="Q30" s="5" t="s">
        <v>949</v>
      </c>
      <c r="R30" s="6"/>
      <c r="S30" s="6"/>
      <c r="T30" s="6"/>
      <c r="U30" s="7">
        <f>O30</f>
        <v>46204</v>
      </c>
    </row>
    <row r="31" ht="14.75" customHeight="1" spans="2:21">
      <c r="B31" s="8" t="s">
        <v>134</v>
      </c>
      <c r="C31" s="9" t="s">
        <v>950</v>
      </c>
      <c r="D31" s="9" t="s">
        <v>951</v>
      </c>
      <c r="E31" s="9" t="s">
        <v>952</v>
      </c>
      <c r="F31" s="9" t="s">
        <v>953</v>
      </c>
      <c r="G31" s="10" t="s">
        <v>954</v>
      </c>
      <c r="H31" s="8" t="s">
        <v>955</v>
      </c>
      <c r="I31" s="11" t="s">
        <v>140</v>
      </c>
      <c r="K31" s="12" t="s">
        <v>134</v>
      </c>
      <c r="L31" s="13" t="s">
        <v>956</v>
      </c>
      <c r="M31" s="14"/>
      <c r="N31" s="13" t="s">
        <v>957</v>
      </c>
      <c r="O31" s="15" t="s">
        <v>958</v>
      </c>
      <c r="Q31" s="12" t="s">
        <v>134</v>
      </c>
      <c r="R31" s="13" t="s">
        <v>956</v>
      </c>
      <c r="S31" s="14"/>
      <c r="T31" s="13" t="s">
        <v>957</v>
      </c>
      <c r="U31" s="15" t="s">
        <v>958</v>
      </c>
    </row>
    <row r="32" ht="14" customHeight="1" spans="2:21">
      <c r="B32" s="16">
        <v>0</v>
      </c>
      <c r="C32" s="17" t="s">
        <v>959</v>
      </c>
      <c r="D32" s="18">
        <v>0</v>
      </c>
      <c r="E32" s="19">
        <v>0</v>
      </c>
      <c r="F32" s="19">
        <v>0</v>
      </c>
      <c r="G32" s="20">
        <f>D32+E32+F32</f>
        <v>0</v>
      </c>
      <c r="H32" s="21">
        <v>0</v>
      </c>
      <c r="I32" s="22"/>
      <c r="K32" s="23">
        <v>1</v>
      </c>
      <c r="L32" s="24" t="s">
        <v>960</v>
      </c>
      <c r="M32" s="25" t="s">
        <v>961</v>
      </c>
      <c r="N32" s="25"/>
      <c r="O32" s="26">
        <f>D20</f>
        <v>0</v>
      </c>
      <c r="Q32" s="23">
        <v>1</v>
      </c>
      <c r="R32" s="24" t="s">
        <v>960</v>
      </c>
      <c r="S32" s="25" t="s">
        <v>962</v>
      </c>
      <c r="T32" s="25"/>
      <c r="U32" s="26"/>
    </row>
    <row r="33" ht="14" customHeight="1" spans="2:21">
      <c r="B33" s="27">
        <v>1</v>
      </c>
      <c r="C33" s="28"/>
      <c r="D33" s="29"/>
      <c r="E33" s="30"/>
      <c r="F33" s="30"/>
      <c r="G33" s="45"/>
      <c r="H33" s="31"/>
      <c r="I33" s="32" t="s">
        <v>981</v>
      </c>
      <c r="K33" s="33">
        <v>2</v>
      </c>
      <c r="L33" s="34"/>
      <c r="M33" s="35" t="s">
        <v>964</v>
      </c>
      <c r="N33" s="35"/>
      <c r="O33" s="36"/>
      <c r="Q33" s="33">
        <v>2</v>
      </c>
      <c r="R33" s="34"/>
      <c r="S33" s="35" t="s">
        <v>965</v>
      </c>
      <c r="T33" s="35"/>
      <c r="U33" s="39"/>
    </row>
    <row r="34" ht="14.75" customHeight="1" spans="2:21">
      <c r="B34" s="27">
        <v>2</v>
      </c>
      <c r="C34" s="28"/>
      <c r="D34" s="29"/>
      <c r="E34" s="30"/>
      <c r="F34" s="30"/>
      <c r="G34" s="45"/>
      <c r="H34" s="31"/>
      <c r="I34" s="32" t="s">
        <v>963</v>
      </c>
      <c r="K34" s="33">
        <v>3</v>
      </c>
      <c r="L34" s="34"/>
      <c r="M34" s="35" t="s">
        <v>966</v>
      </c>
      <c r="N34" s="35"/>
      <c r="O34" s="39"/>
      <c r="Q34" s="40">
        <v>3</v>
      </c>
      <c r="R34" s="41"/>
      <c r="S34" s="42" t="s">
        <v>967</v>
      </c>
      <c r="T34" s="42"/>
      <c r="U34" s="43">
        <f>SUM(U32:U33)</f>
        <v>0</v>
      </c>
    </row>
    <row r="35" ht="14" customHeight="1" spans="2:21">
      <c r="B35" s="27">
        <v>3</v>
      </c>
      <c r="C35" s="30"/>
      <c r="D35" s="30"/>
      <c r="E35" s="30"/>
      <c r="F35" s="30"/>
      <c r="G35" s="45"/>
      <c r="H35" s="31"/>
      <c r="I35" s="32"/>
      <c r="K35" s="33">
        <v>4</v>
      </c>
      <c r="L35" s="34"/>
      <c r="M35" s="35" t="s">
        <v>968</v>
      </c>
      <c r="N35" s="35"/>
      <c r="O35" s="39"/>
      <c r="Q35" s="23">
        <v>4</v>
      </c>
      <c r="R35" s="24" t="s">
        <v>969</v>
      </c>
      <c r="S35" s="35" t="s">
        <v>970</v>
      </c>
      <c r="T35" s="35"/>
      <c r="U35" s="36">
        <v>0</v>
      </c>
    </row>
    <row r="36" ht="14.75" customHeight="1" spans="2:21">
      <c r="B36" s="27">
        <v>4</v>
      </c>
      <c r="C36" s="30"/>
      <c r="D36" s="30"/>
      <c r="E36" s="30"/>
      <c r="F36" s="30"/>
      <c r="G36" s="45"/>
      <c r="H36" s="31"/>
      <c r="I36" s="32"/>
      <c r="K36" s="40">
        <v>5</v>
      </c>
      <c r="L36" s="41"/>
      <c r="M36" s="42" t="s">
        <v>967</v>
      </c>
      <c r="N36" s="42"/>
      <c r="O36" s="43">
        <f>SUM(O32:O35)</f>
        <v>0</v>
      </c>
      <c r="Q36" s="33">
        <v>5</v>
      </c>
      <c r="R36" s="34"/>
      <c r="S36" s="35" t="s">
        <v>971</v>
      </c>
      <c r="T36" s="35"/>
      <c r="U36" s="36">
        <v>0</v>
      </c>
    </row>
    <row r="37" ht="14" customHeight="1" spans="2:21">
      <c r="B37" s="27">
        <v>5</v>
      </c>
      <c r="C37" s="30"/>
      <c r="D37" s="30"/>
      <c r="E37" s="30"/>
      <c r="F37" s="44"/>
      <c r="G37" s="45"/>
      <c r="H37" s="31"/>
      <c r="I37" s="32"/>
      <c r="K37" s="23">
        <v>6</v>
      </c>
      <c r="L37" s="24" t="s">
        <v>969</v>
      </c>
      <c r="M37" s="25" t="s">
        <v>972</v>
      </c>
      <c r="N37" s="25"/>
      <c r="O37" s="26"/>
      <c r="Q37" s="33">
        <v>6</v>
      </c>
      <c r="R37" s="34"/>
      <c r="S37" s="35" t="s">
        <v>965</v>
      </c>
      <c r="T37" s="35"/>
      <c r="U37" s="36">
        <v>0</v>
      </c>
    </row>
    <row r="38" ht="14" customHeight="1" spans="2:21">
      <c r="B38" s="27">
        <v>6</v>
      </c>
      <c r="C38" s="30"/>
      <c r="D38" s="30"/>
      <c r="E38" s="44"/>
      <c r="F38" s="30"/>
      <c r="G38" s="45"/>
      <c r="H38" s="31"/>
      <c r="I38" s="32"/>
      <c r="K38" s="33">
        <v>7</v>
      </c>
      <c r="L38" s="34"/>
      <c r="M38" s="35" t="s">
        <v>974</v>
      </c>
      <c r="N38" s="35"/>
      <c r="O38" s="36">
        <v>0</v>
      </c>
      <c r="Q38" s="33">
        <v>7</v>
      </c>
      <c r="R38" s="34"/>
      <c r="S38" s="35" t="s">
        <v>974</v>
      </c>
      <c r="T38" s="35"/>
      <c r="U38" s="36">
        <v>0</v>
      </c>
    </row>
    <row r="39" ht="14" customHeight="1" spans="2:21">
      <c r="B39" s="27">
        <v>7</v>
      </c>
      <c r="C39" s="30"/>
      <c r="D39" s="30"/>
      <c r="E39" s="44"/>
      <c r="F39" s="30"/>
      <c r="G39" s="45"/>
      <c r="H39" s="31"/>
      <c r="I39" s="32"/>
      <c r="K39" s="33">
        <v>8</v>
      </c>
      <c r="L39" s="34"/>
      <c r="M39" s="35" t="s">
        <v>975</v>
      </c>
      <c r="N39" s="35"/>
      <c r="O39" s="36">
        <v>0</v>
      </c>
      <c r="Q39" s="33">
        <v>8</v>
      </c>
      <c r="R39" s="34"/>
      <c r="S39" s="35" t="s">
        <v>975</v>
      </c>
      <c r="T39" s="35"/>
      <c r="U39" s="36">
        <v>0</v>
      </c>
    </row>
    <row r="40" ht="14.75" customHeight="1" spans="2:21">
      <c r="B40" s="27">
        <v>8</v>
      </c>
      <c r="C40" s="28"/>
      <c r="D40" s="29"/>
      <c r="E40" s="30"/>
      <c r="F40" s="44"/>
      <c r="G40" s="45"/>
      <c r="H40" s="31"/>
      <c r="I40" s="32"/>
      <c r="K40" s="40">
        <v>9</v>
      </c>
      <c r="L40" s="41"/>
      <c r="M40" s="42" t="s">
        <v>976</v>
      </c>
      <c r="N40" s="42"/>
      <c r="O40" s="43">
        <f>O37+O38-O39</f>
        <v>0</v>
      </c>
      <c r="Q40" s="40">
        <v>9</v>
      </c>
      <c r="R40" s="41"/>
      <c r="S40" s="42" t="s">
        <v>976</v>
      </c>
      <c r="T40" s="42"/>
      <c r="U40" s="43">
        <f>SUM(U35:U39)</f>
        <v>0</v>
      </c>
    </row>
    <row r="41" ht="14.75" customHeight="1" spans="2:21">
      <c r="B41" s="8" t="s">
        <v>977</v>
      </c>
      <c r="C41" s="49" t="s">
        <v>978</v>
      </c>
      <c r="D41" s="50">
        <f>SUM(D32:D40)</f>
        <v>0</v>
      </c>
      <c r="E41" s="50">
        <f>SUM(E32:E40)</f>
        <v>0</v>
      </c>
      <c r="F41" s="50">
        <f>SUM(F32:F40)</f>
        <v>0</v>
      </c>
      <c r="G41" s="51">
        <f>SUM(G32:G40)</f>
        <v>0</v>
      </c>
      <c r="H41" s="52">
        <f>SUM(H34:H40)</f>
        <v>0</v>
      </c>
      <c r="I41" s="53"/>
      <c r="K41" s="12" t="s">
        <v>977</v>
      </c>
      <c r="L41" s="13" t="s">
        <v>979</v>
      </c>
      <c r="M41" s="54">
        <v>0</v>
      </c>
      <c r="N41" s="54">
        <v>0</v>
      </c>
      <c r="O41" s="55">
        <f>O36-O40</f>
        <v>0</v>
      </c>
      <c r="Q41" s="12" t="s">
        <v>977</v>
      </c>
      <c r="R41" s="13" t="s">
        <v>980</v>
      </c>
      <c r="S41" s="54">
        <v>0</v>
      </c>
      <c r="T41" s="54">
        <v>0</v>
      </c>
      <c r="U41" s="55">
        <f>U34-U40</f>
        <v>0</v>
      </c>
    </row>
  </sheetData>
  <mergeCells count="18">
    <mergeCell ref="B14:G14"/>
    <mergeCell ref="K14:N14"/>
    <mergeCell ref="Q14:T14"/>
    <mergeCell ref="L15:M15"/>
    <mergeCell ref="R15:S15"/>
    <mergeCell ref="B30:G30"/>
    <mergeCell ref="K30:N30"/>
    <mergeCell ref="Q30:T30"/>
    <mergeCell ref="L31:M31"/>
    <mergeCell ref="R31:S31"/>
    <mergeCell ref="L16:L20"/>
    <mergeCell ref="L21:L27"/>
    <mergeCell ref="L32:L36"/>
    <mergeCell ref="L37:L40"/>
    <mergeCell ref="R16:R18"/>
    <mergeCell ref="R19:R27"/>
    <mergeCell ref="R32:R34"/>
    <mergeCell ref="R35:R4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SOFP</vt:lpstr>
      <vt:lpstr>Cost Checking</vt:lpstr>
      <vt:lpstr>Bank Verification</vt:lpstr>
      <vt:lpstr>Shipmanagement RCVD</vt:lpstr>
      <vt:lpstr>Expenses Lists</vt:lpstr>
      <vt:lpstr>CTM Expenses List</vt:lpstr>
      <vt:lpstr>Shipmanagement Cost</vt:lpstr>
      <vt:lpstr>Owner Cost</vt:lpstr>
      <vt:lpstr>Take-Over Cost</vt:lpstr>
      <vt:lpstr>BMA Flag Change</vt:lpstr>
      <vt:lpstr>DD Cost</vt:lpstr>
      <vt:lpstr>分析</vt:lpstr>
      <vt:lpstr>Account Code-2版</vt:lpstr>
      <vt:lpstr>伙食海关库房管理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海蟹</cp:lastModifiedBy>
  <dcterms:created xsi:type="dcterms:W3CDTF">2010-05-11T06:15:00Z</dcterms:created>
  <cp:lastPrinted>2017-01-26T08:01:00Z</cp:lastPrinted>
  <dcterms:modified xsi:type="dcterms:W3CDTF">2026-10-14T08:28:27Z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AAB255160B3A43D4A0BF971FAF6938F4_13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